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Order" sheetId="1" state="visible" r:id="rId1"/>
    <sheet xmlns:r="http://schemas.openxmlformats.org/officeDocument/2006/relationships" name="Order Sequence" sheetId="2" state="visible" r:id="rId2"/>
    <sheet xmlns:r="http://schemas.openxmlformats.org/officeDocument/2006/relationships" name="Audit Trail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Build N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&quot;$&quot;#,##0.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i val="1"/>
      <sz val="11"/>
    </font>
    <font>
      <name val="Arial"/>
      <charset val="1"/>
      <family val="0"/>
      <i val="1"/>
      <color rgb="FF666666"/>
      <sz val="11"/>
    </font>
    <font>
      <name val="Arial"/>
      <charset val="1"/>
      <family val="0"/>
      <b val="1"/>
      <sz val="14"/>
    </font>
    <font>
      <name val="Arial"/>
      <charset val="1"/>
      <family val="0"/>
      <b val="1"/>
      <color rgb="FFC00000"/>
      <sz val="11"/>
    </font>
    <font>
      <b val="1"/>
      <color rgb="00FFFFFF"/>
      <sz val="11"/>
    </font>
    <font>
      <b val="1"/>
    </font>
    <font>
      <b val="1"/>
      <color rgb="00FFFFFF"/>
    </font>
    <font>
      <b val="1"/>
      <color rgb="00FFFFFF"/>
      <sz val="12"/>
    </font>
    <font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7E6E6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9D9D9"/>
      </patternFill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165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164" fontId="7" fillId="5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164" fontId="7" fillId="6" borderId="1" applyAlignment="1" pivotButton="0" quotePrefix="0" xfId="0">
      <alignment horizontal="general" vertical="top" wrapText="1"/>
    </xf>
    <xf numFmtId="165" fontId="7" fillId="6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right" vertical="bottom"/>
    </xf>
    <xf numFmtId="165" fontId="8" fillId="7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165" fontId="9" fillId="8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right" vertical="bottom"/>
    </xf>
    <xf numFmtId="165" fontId="10" fillId="7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165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164" fontId="7" fillId="5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164" fontId="7" fillId="6" borderId="1" applyAlignment="1" pivotButton="0" quotePrefix="0" xfId="0">
      <alignment horizontal="general" vertical="top" wrapText="1"/>
    </xf>
    <xf numFmtId="165" fontId="7" fillId="6" borderId="1" applyAlignment="1" pivotButton="0" quotePrefix="0" xfId="0">
      <alignment horizontal="general" vertical="top" wrapText="1"/>
    </xf>
    <xf numFmtId="0" fontId="14" fillId="9" borderId="0" pivotButton="0" quotePrefix="0" xfId="0"/>
    <xf numFmtId="0" fontId="0" fillId="0" borderId="6" applyAlignment="1" pivotButton="0" quotePrefix="0" xfId="0">
      <alignment vertical="top" wrapText="1"/>
    </xf>
    <xf numFmtId="166" fontId="8" fillId="0" borderId="6" applyAlignment="1" pivotButton="0" quotePrefix="0" xfId="0">
      <alignment vertical="top" wrapText="1"/>
    </xf>
    <xf numFmtId="166" fontId="8" fillId="7" borderId="6" applyAlignment="1" pivotButton="0" quotePrefix="0" xfId="0">
      <alignment vertical="top" wrapText="1"/>
    </xf>
    <xf numFmtId="0" fontId="8" fillId="0" borderId="0" applyAlignment="1" pivotButton="0" quotePrefix="0" xfId="0">
      <alignment horizontal="right" vertical="bottom"/>
    </xf>
    <xf numFmtId="165" fontId="8" fillId="7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right"/>
    </xf>
    <xf numFmtId="166" fontId="15" fillId="8" borderId="0" applyAlignment="1" pivotButton="0" quotePrefix="0" xfId="0">
      <alignment horizontal="general" vertical="bottom"/>
    </xf>
    <xf numFmtId="166" fontId="15" fillId="7" borderId="0" applyAlignment="1" pivotButton="0" quotePrefix="0" xfId="0">
      <alignment horizontal="general" vertical="bottom"/>
    </xf>
    <xf numFmtId="166" fontId="15" fillId="0" borderId="0" applyAlignment="1" pivotButton="0" quotePrefix="0" xfId="0">
      <alignment horizontal="general" vertical="bottom"/>
    </xf>
    <xf numFmtId="166" fontId="15" fillId="0" borderId="0" pivotButton="0" quotePrefix="0" xfId="0"/>
    <xf numFmtId="0" fontId="16" fillId="9" borderId="0" applyAlignment="1" pivotButton="0" quotePrefix="0" xfId="0">
      <alignment horizontal="right"/>
    </xf>
    <xf numFmtId="166" fontId="16" fillId="9" borderId="0" pivotButton="0" quotePrefix="0" xfId="0"/>
    <xf numFmtId="0" fontId="12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7" fillId="9" borderId="0" pivotButton="0" quotePrefix="0" xfId="0"/>
    <xf numFmtId="0" fontId="18" fillId="10" borderId="0" pivotButton="0" quotePrefix="0" xfId="0"/>
    <xf numFmtId="0" fontId="14" fillId="1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>
          <bgColor rgb="FF70AD47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80808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699"/>
      <rgbColor rgb="FFD9D9D9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70AD47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32" min="1" max="1"/>
    <col width="44" customWidth="1" style="32" min="2" max="2"/>
    <col width="5" customWidth="1" style="32" min="3" max="3"/>
    <col width="28" customWidth="1" style="32" min="4" max="4"/>
    <col width="10" customWidth="1" style="32" min="5" max="5"/>
    <col width="11" customWidth="1" style="32" min="6" max="6"/>
    <col width="8" customWidth="1" style="32" min="7" max="7"/>
    <col width="38" customWidth="1" style="32" min="8" max="8"/>
    <col width="60" customWidth="1" style="32" min="9" max="9"/>
    <col hidden="1" width="10" customWidth="1" style="32" min="10" max="10"/>
  </cols>
  <sheetData>
    <row r="1" ht="24" customHeight="1" s="33">
      <c r="A1" s="34" t="inlineStr">
        <is>
          <t>Physical AI Agent — Complete Parts List (audited against PRD v2.2 + Build Walkthrough)</t>
        </is>
      </c>
    </row>
    <row r="2" ht="15" customHeight="1" s="33">
      <c r="A2" s="35" t="inlineStr">
        <is>
          <t>Wave 1 (order today, weeks 1–6) + Wave 2 (order week 6) + items the original walkthrough missed.</t>
        </is>
      </c>
    </row>
    <row r="3" ht="15" customHeight="1" s="33">
      <c r="A3" s="35" t="inlineStr">
        <is>
          <t>Status column has a dropdown: To order → Ordered → Arrived → Verified. Color updates automatically.</t>
        </is>
      </c>
    </row>
    <row r="5" ht="27.75" customHeight="1" s="33">
      <c r="A5" s="36" t="inlineStr">
        <is>
          <t>Status</t>
        </is>
      </c>
      <c r="B5" s="36" t="inlineStr">
        <is>
          <t>Item</t>
        </is>
      </c>
      <c r="C5" s="36" t="inlineStr">
        <is>
          <t>Qty</t>
        </is>
      </c>
      <c r="D5" s="36" t="inlineStr">
        <is>
          <t>Source</t>
        </is>
      </c>
      <c r="E5" s="36" t="inlineStr">
        <is>
          <t>Unit Cost</t>
        </is>
      </c>
      <c r="F5" s="36" t="inlineStr">
        <is>
          <t>Line Total</t>
        </is>
      </c>
      <c r="G5" s="36" t="inlineStr">
        <is>
          <t>Needed By</t>
        </is>
      </c>
      <c r="H5" s="36" t="inlineStr">
        <is>
          <t>Search / Link</t>
        </is>
      </c>
      <c r="I5" s="36" t="inlineStr">
        <is>
          <t>Notes / Why</t>
        </is>
      </c>
      <c r="J5" s="36" t="inlineStr">
        <is>
          <t>Tag</t>
        </is>
      </c>
    </row>
    <row r="6" ht="42" customHeight="1" s="33">
      <c r="A6" s="37" t="inlineStr">
        <is>
          <t>WAVE 1 — Solenoid matrix (long-lead)</t>
        </is>
      </c>
      <c r="B6" s="38" t="n"/>
      <c r="C6" s="38" t="n"/>
      <c r="D6" s="38" t="n"/>
      <c r="E6" s="38" t="n"/>
      <c r="F6" s="38" t="n"/>
      <c r="G6" s="38" t="n"/>
      <c r="H6" s="38" t="n"/>
      <c r="I6" s="39" t="n"/>
      <c r="J6" s="40" t="n"/>
    </row>
    <row r="7" ht="42" customHeight="1" s="33">
      <c r="A7" s="40" t="inlineStr">
        <is>
          <t>To order</t>
        </is>
      </c>
      <c r="B7" s="40" t="inlineStr">
        <is>
          <t>5N/10mm push-pull solenoid (30×16×15mm body, 6×58mm plunger)</t>
        </is>
      </c>
      <c r="C7" s="40" t="n">
        <v>100</v>
      </c>
      <c r="D7" s="40" t="inlineStr">
        <is>
          <t>AliExpress / Alibaba (bulk)</t>
        </is>
      </c>
      <c r="E7" s="41" t="n">
        <v>3.5</v>
      </c>
      <c r="F7" s="42">
        <f>C7*E7</f>
        <v/>
      </c>
      <c r="G7" s="40" t="inlineStr">
        <is>
          <t>Wk 2</t>
        </is>
      </c>
      <c r="H7" s="40" t="inlineStr">
        <is>
          <t>aliexpress.com/wholesale?SearchText=DC+12V+5N+10mm+solenoid+30x16x15</t>
        </is>
      </c>
      <c r="I7" s="40" t="inlineStr">
        <is>
          <t>DECISION: Big-solenoid path (5N/10mm, 300mA, 30×16×15mm). Fits 19mm pitch with ~1.5–2mm walls. Stroke trimmed via raised CAD plate; force is fine at low end of curve. RISK FLAGGED: heavy 13g steel plunger ≈ 3× slower than JF-0420B-class reference → pushes PRD §6.3 latency budget from 82ms toward ~100ms. See Build Notes sheet. Qty 100 leaves 16 spares from the 84-key matrix (DOA/burnouts/test rig). Unit cost estimate $3.50 — AliExpress/Alibaba bulk; update with actual quote.</t>
        </is>
      </c>
      <c r="J7" s="40" t="inlineStr">
        <is>
          <t>Wave 1</t>
        </is>
      </c>
    </row>
    <row r="8" ht="42" customHeight="1" s="33">
      <c r="A8" s="37" t="inlineStr">
        <is>
          <t>WAVE 1 — Target keyboard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  <c r="J8" s="40" t="n"/>
    </row>
    <row r="9" ht="42" customHeight="1" s="33">
      <c r="A9" s="40" t="inlineStr">
        <is>
          <t>To order</t>
        </is>
      </c>
      <c r="B9" s="40" t="inlineStr">
        <is>
          <t>Nuphy Air75 V3 + Blush Nano switches</t>
        </is>
      </c>
      <c r="C9" s="40" t="n">
        <v>1</v>
      </c>
      <c r="D9" s="40" t="inlineStr">
        <is>
          <t>nuphy.com</t>
        </is>
      </c>
      <c r="E9" s="41" t="n">
        <v>130</v>
      </c>
      <c r="F9" s="42">
        <f>C9*E9</f>
        <v/>
      </c>
      <c r="G9" s="40" t="inlineStr">
        <is>
          <t>Wk 3</t>
        </is>
      </c>
      <c r="H9" s="40" t="inlineStr">
        <is>
          <t>nuphy.com</t>
        </is>
      </c>
      <c r="I9" s="40" t="inlineStr">
        <is>
          <t>84-key 75% low-profile. Hot-swappable. MUST select Blush Nano linear switches at checkout.</t>
        </is>
      </c>
      <c r="J9" s="40" t="inlineStr">
        <is>
          <t>Wave 1</t>
        </is>
      </c>
    </row>
    <row r="10" ht="42" customHeight="1" s="33">
      <c r="A10" s="40" t="inlineStr">
        <is>
          <t>To order</t>
        </is>
      </c>
      <c r="B10" s="40" t="inlineStr">
        <is>
          <t>Spare Blush Nano switches</t>
        </is>
      </c>
      <c r="C10" s="40" t="n">
        <v>30</v>
      </c>
      <c r="D10" s="40" t="inlineStr">
        <is>
          <t>nuphy.com</t>
        </is>
      </c>
      <c r="E10" s="41" t="n">
        <v>1.88</v>
      </c>
      <c r="F10" s="42">
        <f>C10*E10</f>
        <v/>
      </c>
      <c r="G10" s="40" t="inlineStr">
        <is>
          <t>Wk 3</t>
        </is>
      </c>
      <c r="H10" s="40" t="inlineStr">
        <is>
          <t>nuphy.com — Blush Nano switches</t>
        </is>
      </c>
      <c r="I10" s="40" t="inlineStr">
        <is>
          <t>BUMPED 8→30 for big-solenoid plan. Steel plungers + higher impact energy raise switch-wear risk (PRD R-02b). Hot-swap means no soldering. Keep extras dry-bagged.</t>
        </is>
      </c>
      <c r="J10" s="40" t="inlineStr">
        <is>
          <t>Wave 1</t>
        </is>
      </c>
    </row>
    <row r="11" ht="42" customHeight="1" s="33">
      <c r="A11" s="40" t="inlineStr">
        <is>
          <t>To order</t>
        </is>
      </c>
      <c r="B11" s="43" t="inlineStr">
        <is>
          <t>Double-sided VHB mounting tape</t>
        </is>
      </c>
      <c r="C11" s="43" t="n">
        <v>1</v>
      </c>
      <c r="D11" s="43" t="inlineStr">
        <is>
          <t>Amazon — 3M VHB</t>
        </is>
      </c>
      <c r="E11" s="44" t="n">
        <v>12</v>
      </c>
      <c r="F11" s="45">
        <f>C11*E11</f>
        <v/>
      </c>
      <c r="G11" s="43" t="inlineStr">
        <is>
          <t>Wk 3</t>
        </is>
      </c>
      <c r="H11" s="43" t="inlineStr">
        <is>
          <t>amazon.com/s?k=3M+VHB+tape</t>
        </is>
      </c>
      <c r="I11" s="43" t="inlineStr">
        <is>
          <t>GAP — PRD §4.2.1 requires keyboard to be fixed to workbench with VHB tape to prevent shifting under repeated strikes. Not on walkthrough's shopping list.</t>
        </is>
      </c>
      <c r="J11" s="40" t="inlineStr">
        <is>
          <t>Wave 1</t>
        </is>
      </c>
    </row>
    <row r="12" ht="42" customHeight="1" s="33">
      <c r="A12" s="37" t="inlineStr">
        <is>
          <t>WAVE 1 — Microcontrollers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  <c r="J12" s="40" t="n"/>
    </row>
    <row r="13" ht="42" customHeight="1" s="33">
      <c r="A13" s="40" t="inlineStr">
        <is>
          <t>To order</t>
        </is>
      </c>
      <c r="B13" s="40" t="inlineStr">
        <is>
          <t>Arduino Mega 2560 (genuine or compatible)</t>
        </is>
      </c>
      <c r="C13" s="40" t="n">
        <v>1</v>
      </c>
      <c r="D13" s="40" t="inlineStr">
        <is>
          <t>Amazon</t>
        </is>
      </c>
      <c r="E13" s="41" t="n">
        <v>25</v>
      </c>
      <c r="F13" s="42">
        <f>C13*E13</f>
        <v/>
      </c>
      <c r="G13" s="40" t="inlineStr">
        <is>
          <t>Wk 2</t>
        </is>
      </c>
      <c r="H13" s="40" t="inlineStr">
        <is>
          <t>amazon.com/s?k=Arduino+Mega+2560</t>
        </is>
      </c>
      <c r="I13" s="40" t="inlineStr">
        <is>
          <t>Keyboard controller. Larger SRAM + extra UART vs Uno. Genuine $45 / compatible $15–25.</t>
        </is>
      </c>
      <c r="J13" s="40" t="inlineStr">
        <is>
          <t>Wave 1</t>
        </is>
      </c>
    </row>
    <row r="14" ht="42" customHeight="1" s="33">
      <c r="A14" s="40" t="inlineStr">
        <is>
          <t>To order</t>
        </is>
      </c>
      <c r="B14" s="40" t="inlineStr">
        <is>
          <t>Arduino Uno R3 (genuine or compatible)</t>
        </is>
      </c>
      <c r="C14" s="40" t="n">
        <v>1</v>
      </c>
      <c r="D14" s="40" t="inlineStr">
        <is>
          <t>Amazon</t>
        </is>
      </c>
      <c r="E14" s="41" t="n">
        <v>20</v>
      </c>
      <c r="F14" s="42">
        <f>C14*E14</f>
        <v/>
      </c>
      <c r="G14" s="40" t="inlineStr">
        <is>
          <t>Wk 7</t>
        </is>
      </c>
      <c r="H14" s="40" t="inlineStr">
        <is>
          <t>amazon.com/s?k=Arduino+Uno+R3</t>
        </is>
      </c>
      <c r="I14" s="40" t="inlineStr">
        <is>
          <t>Gantry controller. Order in Wave 1 to avoid a second shipment.</t>
        </is>
      </c>
      <c r="J14" s="40" t="inlineStr">
        <is>
          <t>Wave 1</t>
        </is>
      </c>
    </row>
    <row r="15" ht="42" customHeight="1" s="33">
      <c r="A15" s="37" t="inlineStr">
        <is>
          <t>WAVE 1 — Driver electronics</t>
        </is>
      </c>
      <c r="B15" s="38" t="n"/>
      <c r="C15" s="38" t="n"/>
      <c r="D15" s="38" t="n"/>
      <c r="E15" s="38" t="n"/>
      <c r="F15" s="38" t="n"/>
      <c r="G15" s="38" t="n"/>
      <c r="H15" s="38" t="n"/>
      <c r="I15" s="39" t="n"/>
      <c r="J15" s="40" t="n"/>
    </row>
    <row r="16" ht="42" customHeight="1" s="33">
      <c r="A16" s="40" t="inlineStr">
        <is>
          <t>To order</t>
        </is>
      </c>
      <c r="B16" s="40" t="inlineStr">
        <is>
          <t>74HC595 shift registers, DIP-16 through-hole</t>
        </is>
      </c>
      <c r="C16" s="40" t="n">
        <v>12</v>
      </c>
      <c r="D16" s="40" t="inlineStr">
        <is>
          <t>Amazon multipack</t>
        </is>
      </c>
      <c r="E16" s="41" t="n">
        <v>1</v>
      </c>
      <c r="F16" s="42">
        <f>C16*E16</f>
        <v/>
      </c>
      <c r="G16" s="40" t="inlineStr">
        <is>
          <t>Wk 2</t>
        </is>
      </c>
      <c r="H16" s="40" t="inlineStr">
        <is>
          <t>amazon.com/s?k=74HC595+DIP-16</t>
        </is>
      </c>
      <c r="I16" s="40" t="inlineStr">
        <is>
          <t>11 used, 1 spare. THROUGH-HOLE only, not SMD.</t>
        </is>
      </c>
      <c r="J16" s="40" t="inlineStr">
        <is>
          <t>Wave 1</t>
        </is>
      </c>
    </row>
    <row r="17" ht="42" customHeight="1" s="33">
      <c r="A17" s="40" t="inlineStr">
        <is>
          <t>To order</t>
        </is>
      </c>
      <c r="B17" s="40" t="inlineStr">
        <is>
          <t>ULN2803A Darlington arrays, DIP-18 through-hole</t>
        </is>
      </c>
      <c r="C17" s="40" t="n">
        <v>12</v>
      </c>
      <c r="D17" s="40" t="inlineStr">
        <is>
          <t>Amazon multipack</t>
        </is>
      </c>
      <c r="E17" s="41" t="n">
        <v>1.5</v>
      </c>
      <c r="F17" s="42">
        <f>C17*E17</f>
        <v/>
      </c>
      <c r="G17" s="40" t="inlineStr">
        <is>
          <t>Wk 2</t>
        </is>
      </c>
      <c r="H17" s="40" t="inlineStr">
        <is>
          <t>amazon.com/s?k=ULN2803A+DIP-18</t>
        </is>
      </c>
      <c r="I17" s="40" t="inlineStr">
        <is>
          <t>11 used, 1 spare. Through-hole only.</t>
        </is>
      </c>
      <c r="J17" s="40" t="inlineStr">
        <is>
          <t>Wave 1</t>
        </is>
      </c>
    </row>
    <row r="18" ht="42" customHeight="1" s="33">
      <c r="A18" s="40" t="inlineStr">
        <is>
          <t>To order</t>
        </is>
      </c>
      <c r="B18" s="40" t="inlineStr">
        <is>
          <t>IC sockets: DIP-16 (×12) + DIP-18 (×12)</t>
        </is>
      </c>
      <c r="C18" s="40" t="n">
        <v>1</v>
      </c>
      <c r="D18" s="40" t="inlineStr">
        <is>
          <t>Amazon multipack</t>
        </is>
      </c>
      <c r="E18" s="41" t="n">
        <v>10</v>
      </c>
      <c r="F18" s="42">
        <f>C18*E18</f>
        <v/>
      </c>
      <c r="G18" s="40" t="inlineStr">
        <is>
          <t>Wk 5</t>
        </is>
      </c>
      <c r="H18" s="40" t="inlineStr">
        <is>
          <t>amazon.com/s?k=IC+sockets+DIP-16+DIP-18</t>
        </is>
      </c>
      <c r="I18" s="40" t="inlineStr">
        <is>
          <t>ALWAYS socket ICs. Saves rework on the 22-IC driver board.</t>
        </is>
      </c>
      <c r="J18" s="40" t="inlineStr">
        <is>
          <t>Wave 1</t>
        </is>
      </c>
    </row>
    <row r="19" ht="42" customHeight="1" s="33">
      <c r="A19" s="40" t="inlineStr">
        <is>
          <t>To order</t>
        </is>
      </c>
      <c r="B19" s="40" t="inlineStr">
        <is>
          <t>Perfboard, large (~10×15 cm)</t>
        </is>
      </c>
      <c r="C19" s="40" t="n">
        <v>3</v>
      </c>
      <c r="D19" s="40" t="inlineStr">
        <is>
          <t>Amazon multipack</t>
        </is>
      </c>
      <c r="E19" s="41" t="n">
        <v>5</v>
      </c>
      <c r="F19" s="42">
        <f>C19*E19</f>
        <v/>
      </c>
      <c r="G19" s="40" t="inlineStr">
        <is>
          <t>Wk 5</t>
        </is>
      </c>
      <c r="H19" s="40" t="inlineStr">
        <is>
          <t>amazon.com/s?k=10x15cm+perfboard</t>
        </is>
      </c>
      <c r="I19" s="40" t="inlineStr">
        <is>
          <t>Single-sided through-hole. May need to bridge two boards for the 11-SR + 11-ULN driver.</t>
        </is>
      </c>
      <c r="J19" s="40" t="inlineStr">
        <is>
          <t>Wave 1</t>
        </is>
      </c>
    </row>
    <row r="20" ht="42" customHeight="1" s="33">
      <c r="A20" s="40" t="inlineStr">
        <is>
          <t>To order</t>
        </is>
      </c>
      <c r="B20" s="40" t="inlineStr">
        <is>
          <t>Capacitors: 4700µF 25V ×2, 0.1µF ceramic ×50+</t>
        </is>
      </c>
      <c r="C20" s="40" t="n">
        <v>1</v>
      </c>
      <c r="D20" s="40" t="inlineStr">
        <is>
          <t>Amazon multipack</t>
        </is>
      </c>
      <c r="E20" s="41" t="n">
        <v>15</v>
      </c>
      <c r="F20" s="42">
        <f>C20*E20</f>
        <v/>
      </c>
      <c r="G20" s="40" t="inlineStr">
        <is>
          <t>Wk 5</t>
        </is>
      </c>
      <c r="H20" s="40" t="inlineStr">
        <is>
          <t>amazon.com/s?k=4700uF+25V+capacitor+0.1uF+ceramic+kit</t>
        </is>
      </c>
      <c r="I20" s="40" t="inlineStr">
        <is>
          <t>0.1µF decouple on every IC (22 needed). 4700µF reservoir on 12V rail per PRD §4.5.3.</t>
        </is>
      </c>
      <c r="J20" s="40" t="inlineStr">
        <is>
          <t>Wave 1</t>
        </is>
      </c>
    </row>
    <row r="21" ht="42" customHeight="1" s="33">
      <c r="A21" s="40" t="inlineStr">
        <is>
          <t>To order</t>
        </is>
      </c>
      <c r="B21" s="40" t="inlineStr">
        <is>
          <t>Pin headers, male 0.1" pitch (40-pin strips)</t>
        </is>
      </c>
      <c r="C21" s="40" t="n">
        <v>1</v>
      </c>
      <c r="D21" s="40" t="inlineStr">
        <is>
          <t>Amazon</t>
        </is>
      </c>
      <c r="E21" s="41" t="n">
        <v>10</v>
      </c>
      <c r="F21" s="42">
        <f>C21*E21</f>
        <v/>
      </c>
      <c r="G21" s="40" t="inlineStr">
        <is>
          <t>Wk 2</t>
        </is>
      </c>
      <c r="H21" s="40" t="inlineStr">
        <is>
          <t>amazon.com/s?k=0.1+inch+pin+headers+male</t>
        </is>
      </c>
      <c r="I21" s="40" t="inlineStr">
        <is>
          <t>Snap to length. Used for driver board outputs and breadboard work.</t>
        </is>
      </c>
      <c r="J21" s="40" t="inlineStr">
        <is>
          <t>Wave 1</t>
        </is>
      </c>
    </row>
    <row r="22" ht="42" customHeight="1" s="33">
      <c r="A22" s="40" t="inlineStr">
        <is>
          <t>To order</t>
        </is>
      </c>
      <c r="B22" s="40" t="inlineStr">
        <is>
          <t>Dupont jumper wires (M-M, M-F, F-F kit)</t>
        </is>
      </c>
      <c r="C22" s="40" t="n">
        <v>1</v>
      </c>
      <c r="D22" s="40" t="inlineStr">
        <is>
          <t>Amazon kit</t>
        </is>
      </c>
      <c r="E22" s="41" t="n">
        <v>10</v>
      </c>
      <c r="F22" s="42">
        <f>C22*E22</f>
        <v/>
      </c>
      <c r="G22" s="40" t="inlineStr">
        <is>
          <t>Wk 2</t>
        </is>
      </c>
      <c r="H22" s="40" t="inlineStr">
        <is>
          <t>amazon.com/s?k=dupont+jumper+wire+kit</t>
        </is>
      </c>
      <c r="I22" s="40" t="inlineStr">
        <is>
          <t>All three genders. For breadboard + Arduino-to-board jumpers.</t>
        </is>
      </c>
      <c r="J22" s="40" t="inlineStr">
        <is>
          <t>Wave 1</t>
        </is>
      </c>
    </row>
    <row r="23" ht="42" customHeight="1" s="33">
      <c r="A23" s="37" t="inlineStr">
        <is>
          <t>WAVE 1 — Prototyping (Week 2) — GAPS the walkthrough missed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  <c r="J23" s="40" t="n"/>
    </row>
    <row r="24" ht="42" customHeight="1" s="33">
      <c r="A24" s="40" t="inlineStr">
        <is>
          <t>To order</t>
        </is>
      </c>
      <c r="B24" s="43" t="inlineStr">
        <is>
          <t>Breadboard kit (1 full + 2 half-size)</t>
        </is>
      </c>
      <c r="C24" s="43" t="n">
        <v>1</v>
      </c>
      <c r="D24" s="43" t="inlineStr">
        <is>
          <t>Amazon</t>
        </is>
      </c>
      <c r="E24" s="44" t="n">
        <v>10</v>
      </c>
      <c r="F24" s="45">
        <f>C24*E24</f>
        <v/>
      </c>
      <c r="G24" s="43" t="inlineStr">
        <is>
          <t>Wk 2</t>
        </is>
      </c>
      <c r="H24" s="43" t="inlineStr">
        <is>
          <t>amazon.com/s?k=breadboard+kit+830</t>
        </is>
      </c>
      <c r="I24" s="43" t="inlineStr">
        <is>
          <t>GAP — Week 2 step 1 says "Wire one 74HC595 to the Arduino Mega on a breadboard." No breadboard on walkthrough's list.</t>
        </is>
      </c>
      <c r="J24" s="40" t="inlineStr">
        <is>
          <t>Wave 1</t>
        </is>
      </c>
    </row>
    <row r="25" ht="42" customHeight="1" s="33">
      <c r="A25" s="40" t="inlineStr">
        <is>
          <t>To order</t>
        </is>
      </c>
      <c r="B25" s="43" t="inlineStr">
        <is>
          <t>LED assortment kit (5mm, mixed colors)</t>
        </is>
      </c>
      <c r="C25" s="43" t="n">
        <v>1</v>
      </c>
      <c r="D25" s="43" t="inlineStr">
        <is>
          <t>Amazon</t>
        </is>
      </c>
      <c r="E25" s="44" t="n">
        <v>8</v>
      </c>
      <c r="F25" s="45">
        <f>C25*E25</f>
        <v/>
      </c>
      <c r="G25" s="43" t="inlineStr">
        <is>
          <t>Wk 2</t>
        </is>
      </c>
      <c r="H25" s="43" t="inlineStr">
        <is>
          <t>amazon.com/s?k=5mm+LED+assortment</t>
        </is>
      </c>
      <c r="I25" s="43" t="inlineStr">
        <is>
          <t>GAP — Week 2 walk-test needs LEDs on the SR outputs. Also useful as status indicators on channels 84–87 per Week 5.</t>
        </is>
      </c>
      <c r="J25" s="40" t="inlineStr">
        <is>
          <t>Wave 1</t>
        </is>
      </c>
    </row>
    <row r="26" ht="42" customHeight="1" s="33">
      <c r="A26" s="40" t="inlineStr">
        <is>
          <t>To order</t>
        </is>
      </c>
      <c r="B26" s="43" t="inlineStr">
        <is>
          <t>Resistor kit (1/4W, includes 220Ω, 330Ω, 1kΩ, 10kΩ)</t>
        </is>
      </c>
      <c r="C26" s="43" t="n">
        <v>1</v>
      </c>
      <c r="D26" s="43" t="inlineStr">
        <is>
          <t>Amazon</t>
        </is>
      </c>
      <c r="E26" s="44" t="n">
        <v>10</v>
      </c>
      <c r="F26" s="45">
        <f>C26*E26</f>
        <v/>
      </c>
      <c r="G26" s="43" t="inlineStr">
        <is>
          <t>Wk 2</t>
        </is>
      </c>
      <c r="H26" s="43" t="inlineStr">
        <is>
          <t>amazon.com/s?k=1/4W+resistor+kit+assortment</t>
        </is>
      </c>
      <c r="I26" s="43" t="inlineStr">
        <is>
          <t>GAP — Need current-limiting resistors for the LED walk-test, plus pull-ups/pull-downs anywhere logic needs them.</t>
        </is>
      </c>
      <c r="J26" s="40" t="inlineStr">
        <is>
          <t>Wave 1</t>
        </is>
      </c>
    </row>
    <row r="27" ht="42" customHeight="1" s="33">
      <c r="A27" s="37" t="inlineStr">
        <is>
          <t>WAVE 1 — Wire and termination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  <c r="J27" s="40" t="n"/>
    </row>
    <row r="28" ht="42" customHeight="1" s="33">
      <c r="A28" s="40" t="inlineStr">
        <is>
          <t>To order</t>
        </is>
      </c>
      <c r="B28" s="40" t="inlineStr">
        <is>
          <t>Solid-core hookup wire, 22 AWG, 6+ colors</t>
        </is>
      </c>
      <c r="C28" s="40" t="n">
        <v>1</v>
      </c>
      <c r="D28" s="40" t="inlineStr">
        <is>
          <t>Amazon kit</t>
        </is>
      </c>
      <c r="E28" s="41" t="n">
        <v>15</v>
      </c>
      <c r="F28" s="42">
        <f>C28*E28</f>
        <v/>
      </c>
      <c r="G28" s="40" t="inlineStr">
        <is>
          <t>Wk 5</t>
        </is>
      </c>
      <c r="H28" s="40" t="inlineStr">
        <is>
          <t>amazon.com/s?k=22+AWG+solid+hookup+wire+kit</t>
        </is>
      </c>
      <c r="I28" s="40" t="inlineStr">
        <is>
          <t>≥5 colors, 30 ft each minimum. For perfboard point-to-point wiring.</t>
        </is>
      </c>
      <c r="J28" s="40" t="inlineStr">
        <is>
          <t>Wave 1</t>
        </is>
      </c>
    </row>
    <row r="29" ht="42" customHeight="1" s="33">
      <c r="A29" s="40" t="inlineStr">
        <is>
          <t>To order</t>
        </is>
      </c>
      <c r="B29" s="43" t="inlineStr">
        <is>
          <t>Stranded hookup wire, 22 AWG, multi-color</t>
        </is>
      </c>
      <c r="C29" s="43" t="n">
        <v>1</v>
      </c>
      <c r="D29" s="43" t="inlineStr">
        <is>
          <t>Amazon kit</t>
        </is>
      </c>
      <c r="E29" s="44" t="n">
        <v>18</v>
      </c>
      <c r="F29" s="45">
        <f>C29*E29</f>
        <v/>
      </c>
      <c r="G29" s="43" t="inlineStr">
        <is>
          <t>Wk 6</t>
        </is>
      </c>
      <c r="H29" s="43" t="inlineStr">
        <is>
          <t>amazon.com/s?k=22+AWG+stranded+wire+kit</t>
        </is>
      </c>
      <c r="I29" s="43" t="inlineStr">
        <is>
          <t>GAP — Week 6 step 3 says "Use 22 AWG stranded wire" for all 84 solenoid runs. Walkthrough's list only has solid-core, which will fatigue and break on flexing runs.</t>
        </is>
      </c>
      <c r="J29" s="40" t="inlineStr">
        <is>
          <t>Wave 1</t>
        </is>
      </c>
    </row>
    <row r="30" ht="42" customHeight="1" s="33">
      <c r="A30" s="40" t="inlineStr">
        <is>
          <t>To order</t>
        </is>
      </c>
      <c r="B30" s="40" t="inlineStr">
        <is>
          <t>Stranded silicone wire 18 AWG (red + black, 10ft each)</t>
        </is>
      </c>
      <c r="C30" s="40" t="n">
        <v>1</v>
      </c>
      <c r="D30" s="40" t="inlineStr">
        <is>
          <t>Amazon</t>
        </is>
      </c>
      <c r="E30" s="41" t="n">
        <v>15</v>
      </c>
      <c r="F30" s="42">
        <f>C30*E30</f>
        <v/>
      </c>
      <c r="G30" s="40" t="inlineStr">
        <is>
          <t>Wk 5</t>
        </is>
      </c>
      <c r="H30" s="40" t="inlineStr">
        <is>
          <t>amazon.com/s?k=18+AWG+silicone+wire+red+black</t>
        </is>
      </c>
      <c r="I30" s="40" t="inlineStr">
        <is>
          <t>For 12V power runs from PSU to driver board.</t>
        </is>
      </c>
      <c r="J30" s="40" t="inlineStr">
        <is>
          <t>Wave 1</t>
        </is>
      </c>
    </row>
    <row r="31" ht="42" customHeight="1" s="33">
      <c r="A31" s="40" t="inlineStr">
        <is>
          <t>To order</t>
        </is>
      </c>
      <c r="B31" s="40" t="inlineStr">
        <is>
          <t>Heat-shrink tubing assortment (2mm, 3mm, 5mm)</t>
        </is>
      </c>
      <c r="C31" s="40" t="n">
        <v>1</v>
      </c>
      <c r="D31" s="40" t="inlineStr">
        <is>
          <t>Amazon kit</t>
        </is>
      </c>
      <c r="E31" s="41" t="n">
        <v>10</v>
      </c>
      <c r="F31" s="42">
        <f>C31*E31</f>
        <v/>
      </c>
      <c r="G31" s="40" t="inlineStr">
        <is>
          <t>Wk 5</t>
        </is>
      </c>
      <c r="H31" s="40" t="inlineStr">
        <is>
          <t>amazon.com/s?k=heat+shrink+tubing+kit</t>
        </is>
      </c>
      <c r="I31" s="40" t="inlineStr">
        <is>
          <t>All wire joints and solenoid leads.</t>
        </is>
      </c>
      <c r="J31" s="40" t="inlineStr">
        <is>
          <t>Wave 1</t>
        </is>
      </c>
    </row>
    <row r="32" ht="42" customHeight="1" s="33">
      <c r="A32" s="37" t="inlineStr">
        <is>
          <t>WAVE 1 — Power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  <c r="J32" s="40" t="n"/>
    </row>
    <row r="33" ht="42" customHeight="1" s="33">
      <c r="A33" s="40" t="inlineStr">
        <is>
          <t>To order</t>
        </is>
      </c>
      <c r="B33" s="40" t="inlineStr">
        <is>
          <t>12V 40A switching PSU (S-480-12)</t>
        </is>
      </c>
      <c r="C33" s="40" t="n">
        <v>1</v>
      </c>
      <c r="D33" s="40" t="inlineStr">
        <is>
          <t>Amazon</t>
        </is>
      </c>
      <c r="E33" s="41" t="n">
        <v>60</v>
      </c>
      <c r="F33" s="42">
        <f>C33*E33</f>
        <v/>
      </c>
      <c r="G33" s="40" t="inlineStr">
        <is>
          <t>Wk 2</t>
        </is>
      </c>
      <c r="H33" s="40" t="inlineStr">
        <is>
          <t>amazon.com/s?k=S-480-12+12V+power+supply</t>
        </is>
      </c>
      <c r="I33" s="40" t="inlineStr">
        <is>
          <t>Aluminum-case CCTV style. MUST be 480W not 360W. PRD §4.5.1 notes 50A upgrade optional for +$20 fault margin.</t>
        </is>
      </c>
      <c r="J33" s="40" t="inlineStr">
        <is>
          <t>Wave 1</t>
        </is>
      </c>
    </row>
    <row r="34" ht="42" customHeight="1" s="33">
      <c r="A34" s="40" t="inlineStr">
        <is>
          <t>To order</t>
        </is>
      </c>
      <c r="B34" s="43" t="inlineStr">
        <is>
          <t>IEC C13 power cord (kettle cord, US plug)</t>
        </is>
      </c>
      <c r="C34" s="43" t="n">
        <v>1</v>
      </c>
      <c r="D34" s="43" t="inlineStr">
        <is>
          <t>Amazon</t>
        </is>
      </c>
      <c r="E34" s="44" t="n">
        <v>6</v>
      </c>
      <c r="F34" s="45">
        <f>C34*E34</f>
        <v/>
      </c>
      <c r="G34" s="43" t="inlineStr">
        <is>
          <t>Wk 2</t>
        </is>
      </c>
      <c r="H34" s="43" t="inlineStr">
        <is>
          <t>amazon.com/s?k=IEC+C13+power+cord+6ft</t>
        </is>
      </c>
      <c r="I34" s="43" t="inlineStr">
        <is>
          <t>GAP — Bare S-480-12 PSUs almost never ship with a mains cord. Skip if you have a spare PC/monitor power cord.</t>
        </is>
      </c>
      <c r="J34" s="40" t="inlineStr">
        <is>
          <t>Wave 1</t>
        </is>
      </c>
    </row>
    <row r="35" ht="42" customHeight="1" s="33">
      <c r="A35" s="40" t="inlineStr">
        <is>
          <t>To order</t>
        </is>
      </c>
      <c r="B35" s="40" t="inlineStr">
        <is>
          <t>LM2596 buck converter modules</t>
        </is>
      </c>
      <c r="C35" s="40" t="n">
        <v>2</v>
      </c>
      <c r="D35" s="40" t="inlineStr">
        <is>
          <t>Amazon multipack</t>
        </is>
      </c>
      <c r="E35" s="41" t="n">
        <v>4</v>
      </c>
      <c r="F35" s="42">
        <f>C35*E35</f>
        <v/>
      </c>
      <c r="G35" s="40" t="inlineStr">
        <is>
          <t>Wk 5</t>
        </is>
      </c>
      <c r="H35" s="40" t="inlineStr">
        <is>
          <t>amazon.com/s?k=LM2596+buck+converter</t>
        </is>
      </c>
      <c r="I35" s="40" t="inlineStr">
        <is>
          <t>Step 12V → 5V for each Arduino. PRD §4.5.2 specifies one per Arduino for isolation.</t>
        </is>
      </c>
      <c r="J35" s="40" t="inlineStr">
        <is>
          <t>Wave 1</t>
        </is>
      </c>
    </row>
    <row r="36" ht="42" customHeight="1" s="33">
      <c r="A36" s="37" t="inlineStr">
        <is>
          <t>WAVE 1 — Mechanical (matrix plate)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  <c r="J36" s="40" t="n"/>
    </row>
    <row r="37" ht="42" customHeight="1" s="33">
      <c r="A37" s="40" t="inlineStr">
        <is>
          <t>To order</t>
        </is>
      </c>
      <c r="B37" s="40" t="inlineStr">
        <is>
          <t>PLA filament 1kg</t>
        </is>
      </c>
      <c r="C37" s="40" t="n">
        <v>2</v>
      </c>
      <c r="D37" s="40" t="inlineStr">
        <is>
          <t>Amazon / Bambu / Polymaker</t>
        </is>
      </c>
      <c r="E37" s="41" t="n">
        <v>18</v>
      </c>
      <c r="F37" s="42">
        <f>C37*E37</f>
        <v/>
      </c>
      <c r="G37" s="40" t="inlineStr">
        <is>
          <t>Wk 3</t>
        </is>
      </c>
      <c r="H37" s="40" t="inlineStr">
        <is>
          <t>amazon.com/s?k=PLA+filament+1kg</t>
        </is>
      </c>
      <c r="I37" s="40" t="inlineStr">
        <is>
          <t>1kg should cover matrix plate + mouse cradle + brackets. Bumped to 2kg for prints-fail margin (the full plate is large).</t>
        </is>
      </c>
      <c r="J37" s="40" t="inlineStr">
        <is>
          <t>Wave 1</t>
        </is>
      </c>
    </row>
    <row r="38" ht="42" customHeight="1" s="33">
      <c r="A38" s="40" t="inlineStr">
        <is>
          <t>To order</t>
        </is>
      </c>
      <c r="B38" s="40" t="inlineStr">
        <is>
          <t>Silicone tubing 5mm ID, food-grade roll</t>
        </is>
      </c>
      <c r="C38" s="40" t="n">
        <v>1</v>
      </c>
      <c r="D38" s="40" t="inlineStr">
        <is>
          <t>Amazon</t>
        </is>
      </c>
      <c r="E38" s="41" t="n">
        <v>10</v>
      </c>
      <c r="F38" s="42">
        <f>C38*E38</f>
        <v/>
      </c>
      <c r="G38" s="40" t="inlineStr">
        <is>
          <t>Wk 3</t>
        </is>
      </c>
      <c r="H38" s="40" t="inlineStr">
        <is>
          <t>amazon.com/s?k=5mm+ID+silicone+tubing+food+grade</t>
        </is>
      </c>
      <c r="I38" s="40" t="inlineStr">
        <is>
          <t>Cap each of 84 solenoid plungers with 5mm of tubing.</t>
        </is>
      </c>
      <c r="J38" s="40" t="inlineStr">
        <is>
          <t>Wave 1</t>
        </is>
      </c>
    </row>
    <row r="39" ht="42" customHeight="1" s="33">
      <c r="A39" s="40" t="inlineStr">
        <is>
          <t>To order</t>
        </is>
      </c>
      <c r="B39" s="40" t="inlineStr">
        <is>
          <t>M2 screws + nuts + washers assortment kit</t>
        </is>
      </c>
      <c r="C39" s="40" t="n">
        <v>1</v>
      </c>
      <c r="D39" s="40" t="inlineStr">
        <is>
          <t>Amazon</t>
        </is>
      </c>
      <c r="E39" s="41" t="n">
        <v>15</v>
      </c>
      <c r="F39" s="42">
        <f>C39*E39</f>
        <v/>
      </c>
      <c r="G39" s="40" t="inlineStr">
        <is>
          <t>Wk 3</t>
        </is>
      </c>
      <c r="H39" s="40" t="inlineStr">
        <is>
          <t>amazon.com/s?k=M2+screws+nuts+assortment</t>
        </is>
      </c>
      <c r="I39" s="40" t="inlineStr">
        <is>
          <t>2 per solenoid × 84 = 168 minimum. Get a kit with 300+ for buffer.</t>
        </is>
      </c>
      <c r="J39" s="40" t="inlineStr">
        <is>
          <t>Wave 1</t>
        </is>
      </c>
    </row>
    <row r="40" ht="42" customHeight="1" s="33">
      <c r="A40" s="40" t="inlineStr">
        <is>
          <t>To order</t>
        </is>
      </c>
      <c r="B40" s="40" t="inlineStr">
        <is>
          <t>M5 standoffs, 25mm fixed (with 20mm + 30mm spares)</t>
        </is>
      </c>
      <c r="C40" s="40" t="n">
        <v>12</v>
      </c>
      <c r="D40" s="40" t="inlineStr">
        <is>
          <t>Amazon</t>
        </is>
      </c>
      <c r="E40" s="41" t="n">
        <v>1.2</v>
      </c>
      <c r="F40" s="42">
        <f>C40*E40</f>
        <v/>
      </c>
      <c r="G40" s="40" t="inlineStr">
        <is>
          <t>Wk 3</t>
        </is>
      </c>
      <c r="H40" s="40" t="inlineStr">
        <is>
          <t>amazon.com/s?k=M5+adjustable+standoff</t>
        </is>
      </c>
      <c r="I40" s="40" t="inlineStr">
        <is>
          <t>REVISED for big-solenoid plan. 4× 25mm primary mount + 4× 20mm + 4× 30mm spares to dial plunger-to-keycap gap. Big solenoid (30mm body) + 10mm stroke needs CAD plate ~25mm above keycap top (vs 40–70mm range originally). PRD §4.2.2 — adjustable plunger-to-keycap gap of 1–2mm.</t>
        </is>
      </c>
      <c r="J40" s="40" t="inlineStr">
        <is>
          <t>Wave 1</t>
        </is>
      </c>
    </row>
    <row r="41" ht="42" customHeight="1" s="33">
      <c r="A41" s="37" t="inlineStr">
        <is>
          <t>WAVE 1 — Soldering kit</t>
        </is>
      </c>
      <c r="B41" s="38" t="n"/>
      <c r="C41" s="38" t="n"/>
      <c r="D41" s="38" t="n"/>
      <c r="E41" s="38" t="n"/>
      <c r="F41" s="38" t="n"/>
      <c r="G41" s="38" t="n"/>
      <c r="H41" s="38" t="n"/>
      <c r="I41" s="39" t="n"/>
      <c r="J41" s="40" t="n"/>
    </row>
    <row r="42" ht="42" customHeight="1" s="33">
      <c r="A42" s="40" t="inlineStr">
        <is>
          <t>To order</t>
        </is>
      </c>
      <c r="B42" s="40" t="inlineStr">
        <is>
          <t>Soldering kit (iron + solder + flux + wick + multimeter)</t>
        </is>
      </c>
      <c r="C42" s="40" t="n">
        <v>1</v>
      </c>
      <c r="D42" s="40" t="inlineStr">
        <is>
          <t>Amazon</t>
        </is>
      </c>
      <c r="E42" s="41" t="n">
        <v>80</v>
      </c>
      <c r="F42" s="42">
        <f>C42*E42</f>
        <v/>
      </c>
      <c r="G42" s="40" t="inlineStr">
        <is>
          <t>Wk 1</t>
        </is>
      </c>
      <c r="H42" s="40" t="inlineStr">
        <is>
          <t>amazon.com/s?k=Pinecil+V2+soldering+kit</t>
        </is>
      </c>
      <c r="I42" s="40" t="inlineStr">
        <is>
          <t>Pinecil V2 + 60/40 leaded solder + flux pen + multimeter. Set status to 'Already own' if you have a temp-controlled iron + multimeter.</t>
        </is>
      </c>
      <c r="J42" s="40" t="inlineStr">
        <is>
          <t>Wave 1</t>
        </is>
      </c>
    </row>
    <row r="43" ht="42" customHeight="1" s="33">
      <c r="A43" s="37" t="inlineStr">
        <is>
          <t>WAVE 1 — Host connectivity (MacBook USB-C)</t>
        </is>
      </c>
      <c r="B43" s="38" t="n"/>
      <c r="C43" s="38" t="n"/>
      <c r="D43" s="38" t="n"/>
      <c r="E43" s="38" t="n"/>
      <c r="F43" s="38" t="n"/>
      <c r="G43" s="38" t="n"/>
      <c r="H43" s="38" t="n"/>
      <c r="I43" s="39" t="n"/>
      <c r="J43" s="40" t="n"/>
    </row>
    <row r="44" ht="42" customHeight="1" s="33">
      <c r="A44" s="40" t="inlineStr">
        <is>
          <t>To order</t>
        </is>
      </c>
      <c r="B44" s="43" t="inlineStr">
        <is>
          <t>Powered 4-port USB-A hub with USB-C cable</t>
        </is>
      </c>
      <c r="C44" s="43" t="n">
        <v>1</v>
      </c>
      <c r="D44" s="43" t="inlineStr">
        <is>
          <t>Amazon — Anker / Sabrent</t>
        </is>
      </c>
      <c r="E44" s="44" t="n">
        <v>25</v>
      </c>
      <c r="F44" s="45">
        <f>C44*E44</f>
        <v/>
      </c>
      <c r="G44" s="43" t="inlineStr">
        <is>
          <t>Wk 10</t>
        </is>
      </c>
      <c r="H44" s="43" t="inlineStr">
        <is>
          <t>amazon.com/s?k=powered+USB+hub+4+port+USB-C</t>
        </is>
      </c>
      <c r="I44" s="43" t="inlineStr">
        <is>
          <t>GAP — The M4 Pro MacBook is USB-C only. Final rig needs 4 USB-A devices connected: Arduino Mega + Arduino Uno + Logitech B100 mouse + C920 webcam. Self-powered hub avoids bus-power issues with two Arduinos.</t>
        </is>
      </c>
      <c r="J44" s="40" t="inlineStr">
        <is>
          <t>Wave 1</t>
        </is>
      </c>
    </row>
    <row r="45" ht="42" customHeight="1" s="33">
      <c r="A45" s="40" t="inlineStr">
        <is>
          <t>To order</t>
        </is>
      </c>
      <c r="B45" s="43" t="inlineStr">
        <is>
          <t>USB-A to USB-B cable, 6ft (Arduino spare)</t>
        </is>
      </c>
      <c r="C45" s="43" t="n">
        <v>1</v>
      </c>
      <c r="D45" s="43" t="inlineStr">
        <is>
          <t>Amazon</t>
        </is>
      </c>
      <c r="E45" s="44" t="n">
        <v>5</v>
      </c>
      <c r="F45" s="45">
        <f>C45*E45</f>
        <v/>
      </c>
      <c r="G45" s="43" t="inlineStr">
        <is>
          <t>Wk 2</t>
        </is>
      </c>
      <c r="H45" s="43" t="inlineStr">
        <is>
          <t>amazon.com/s?k=USB-A+to+USB-B+cable+6ft</t>
        </is>
      </c>
      <c r="I45" s="43" t="inlineStr">
        <is>
          <t>GAP — Both Arduinos ship with short USB cables, sometimes only 3ft. Get one longer spare so you don't have to keep the laptop on the bench.</t>
        </is>
      </c>
      <c r="J45" s="40" t="inlineStr">
        <is>
          <t>Wave 1</t>
        </is>
      </c>
    </row>
    <row r="46" ht="42" customHeight="1" s="33">
      <c r="A46" s="37" t="inlineStr">
        <is>
          <t>WAVE 1 — Documentation gear (PRD §6.5.2)</t>
        </is>
      </c>
      <c r="B46" s="38" t="n"/>
      <c r="C46" s="38" t="n"/>
      <c r="D46" s="38" t="n"/>
      <c r="E46" s="38" t="n"/>
      <c r="F46" s="38" t="n"/>
      <c r="G46" s="38" t="n"/>
      <c r="H46" s="38" t="n"/>
      <c r="I46" s="39" t="n"/>
      <c r="J46" s="40" t="n"/>
    </row>
    <row r="47" ht="42" customHeight="1" s="33">
      <c r="A47" s="40" t="inlineStr">
        <is>
          <t>To order</t>
        </is>
      </c>
      <c r="B47" s="40" t="inlineStr">
        <is>
          <t>Phone tripod (Joby GorillaPod or generic)</t>
        </is>
      </c>
      <c r="C47" s="40" t="n">
        <v>1</v>
      </c>
      <c r="D47" s="40" t="inlineStr">
        <is>
          <t>Amazon</t>
        </is>
      </c>
      <c r="E47" s="41" t="n">
        <v>25</v>
      </c>
      <c r="F47" s="42">
        <f>C47*E47</f>
        <v/>
      </c>
      <c r="G47" s="40" t="inlineStr">
        <is>
          <t>Wk 1</t>
        </is>
      </c>
      <c r="H47" s="40" t="inlineStr">
        <is>
          <t>amazon.com/s?k=Joby+GorillaPod+phone</t>
        </is>
      </c>
      <c r="I47" s="40" t="inlineStr">
        <is>
          <t>Tabletop or floor model. For overhead bench filming.</t>
        </is>
      </c>
      <c r="J47" s="40" t="inlineStr">
        <is>
          <t>Wave 1</t>
        </is>
      </c>
    </row>
    <row r="48" ht="42" customHeight="1" s="33">
      <c r="A48" s="40" t="inlineStr">
        <is>
          <t>To order</t>
        </is>
      </c>
      <c r="B48" s="40" t="inlineStr">
        <is>
          <t>Clip-on lavalier mic (BOYA BY-M1 or similar)</t>
        </is>
      </c>
      <c r="C48" s="40" t="n">
        <v>1</v>
      </c>
      <c r="D48" s="40" t="inlineStr">
        <is>
          <t>Amazon</t>
        </is>
      </c>
      <c r="E48" s="41" t="n">
        <v>30</v>
      </c>
      <c r="F48" s="42">
        <f>C48*E48</f>
        <v/>
      </c>
      <c r="G48" s="40" t="inlineStr">
        <is>
          <t>Wk 1</t>
        </is>
      </c>
      <c r="H48" s="40" t="inlineStr">
        <is>
          <t>amazon.com/s?k=BOYA+BY-M1+lavalier</t>
        </is>
      </c>
      <c r="I48" s="40" t="inlineStr">
        <is>
          <t>Plug-and-play with phone via Lightning/USB-C adapter. Huge voiceover quality jump.</t>
        </is>
      </c>
      <c r="J48" s="40" t="inlineStr">
        <is>
          <t>Wave 1</t>
        </is>
      </c>
    </row>
    <row r="49" ht="42" customHeight="1" s="33">
      <c r="A49" s="37" t="inlineStr">
        <is>
          <t>WAVE 1 — Wire labeling (Week 6 mandate)</t>
        </is>
      </c>
      <c r="B49" s="38" t="n"/>
      <c r="C49" s="38" t="n"/>
      <c r="D49" s="38" t="n"/>
      <c r="E49" s="38" t="n"/>
      <c r="F49" s="38" t="n"/>
      <c r="G49" s="38" t="n"/>
      <c r="H49" s="38" t="n"/>
      <c r="I49" s="39" t="n"/>
      <c r="J49" s="40" t="n"/>
    </row>
    <row r="50" ht="42" customHeight="1" s="33">
      <c r="A50" s="40" t="inlineStr">
        <is>
          <t>To order</t>
        </is>
      </c>
      <c r="B50" s="43" t="inlineStr">
        <is>
          <t>Sharpie fine + masking/painter's tape</t>
        </is>
      </c>
      <c r="C50" s="43" t="n">
        <v>1</v>
      </c>
      <c r="D50" s="43" t="inlineStr">
        <is>
          <t>Amazon / hardware store</t>
        </is>
      </c>
      <c r="E50" s="44" t="n">
        <v>8</v>
      </c>
      <c r="F50" s="45">
        <f>C50*E50</f>
        <v/>
      </c>
      <c r="G50" s="43" t="inlineStr">
        <is>
          <t>Wk 6</t>
        </is>
      </c>
      <c r="H50" s="43" t="inlineStr">
        <is>
          <t>amazon.com/s?k=fine+point+sharpie+painters+tape</t>
        </is>
      </c>
      <c r="I50" s="43" t="inlineStr">
        <is>
          <t>GAP — Walkthrough troubleshooting: "Label every wire pair with a Sharpie at both ends, AS YOU WIRE IT, not later." Label-maker tape is on Wave 2 but you wire the keyboard in Wk 6 — too late.</t>
        </is>
      </c>
      <c r="J50" s="40" t="inlineStr">
        <is>
          <t>Wave 1</t>
        </is>
      </c>
    </row>
    <row r="51" ht="42" customHeight="1" s="33">
      <c r="A51" s="37" t="inlineStr">
        <is>
          <t>TOOLS — verify owned before Wk 1 (walkthrough §1.1)</t>
        </is>
      </c>
      <c r="B51" s="38" t="n"/>
      <c r="C51" s="38" t="n"/>
      <c r="D51" s="38" t="n"/>
      <c r="E51" s="38" t="n"/>
      <c r="F51" s="38" t="n"/>
      <c r="G51" s="38" t="n"/>
      <c r="H51" s="38" t="n"/>
      <c r="I51" s="39" t="n"/>
      <c r="J51" s="40" t="n"/>
    </row>
    <row r="52" ht="42" customHeight="1" s="33">
      <c r="A52" s="40" t="inlineStr">
        <is>
          <t>To order</t>
        </is>
      </c>
      <c r="B52" s="46" t="inlineStr">
        <is>
          <t>Hex key set (M3/M4/M5 metric)</t>
        </is>
      </c>
      <c r="C52" s="46" t="n">
        <v>1</v>
      </c>
      <c r="D52" s="46" t="inlineStr">
        <is>
          <t>Amazon / hardware store</t>
        </is>
      </c>
      <c r="E52" s="47" t="n">
        <v>12</v>
      </c>
      <c r="F52" s="48">
        <f>C52*E52</f>
        <v/>
      </c>
      <c r="G52" s="46" t="inlineStr">
        <is>
          <t>Wk 7</t>
        </is>
      </c>
      <c r="H52" s="46" t="inlineStr">
        <is>
          <t>amazon.com/s?k=metric+hex+key+set</t>
        </is>
      </c>
      <c r="I52" s="46" t="inlineStr">
        <is>
          <t>TOOL — Walkthrough §1.1 lists as "must own". Whole 2020 V-slot ecosystem uses M3/M4/M5 hex. Set status to 'Already own' if you have one.</t>
        </is>
      </c>
      <c r="J52" s="40" t="inlineStr">
        <is>
          <t>Tool</t>
        </is>
      </c>
    </row>
    <row r="53" ht="42" customHeight="1" s="33">
      <c r="A53" s="40" t="inlineStr">
        <is>
          <t>To order</t>
        </is>
      </c>
      <c r="B53" s="46" t="inlineStr">
        <is>
          <t>Digital calipers, 150mm</t>
        </is>
      </c>
      <c r="C53" s="46" t="n">
        <v>1</v>
      </c>
      <c r="D53" s="46" t="inlineStr">
        <is>
          <t>Amazon</t>
        </is>
      </c>
      <c r="E53" s="47" t="n">
        <v>18</v>
      </c>
      <c r="F53" s="48">
        <f>C53*E53</f>
        <v/>
      </c>
      <c r="G53" s="46" t="inlineStr">
        <is>
          <t>Wk 3</t>
        </is>
      </c>
      <c r="H53" s="46" t="inlineStr">
        <is>
          <t>amazon.com/s?k=digital+calipers+150mm</t>
        </is>
      </c>
      <c r="I53" s="46" t="inlineStr">
        <is>
          <t>TOOL — Walkthrough §1.1: required for CAD work (measuring the Nuphy keyboard, key pitch, mouse dimensions). Cheap unit is fine.</t>
        </is>
      </c>
      <c r="J53" s="40" t="inlineStr">
        <is>
          <t>Tool</t>
        </is>
      </c>
    </row>
    <row r="54" ht="42" customHeight="1" s="33">
      <c r="A54" s="40" t="inlineStr">
        <is>
          <t>To order</t>
        </is>
      </c>
      <c r="B54" s="46" t="inlineStr">
        <is>
          <t>Safety glasses</t>
        </is>
      </c>
      <c r="C54" s="46" t="n">
        <v>1</v>
      </c>
      <c r="D54" s="46" t="inlineStr">
        <is>
          <t>Amazon / hardware store</t>
        </is>
      </c>
      <c r="E54" s="47" t="n">
        <v>6</v>
      </c>
      <c r="F54" s="48">
        <f>C54*E54</f>
        <v/>
      </c>
      <c r="G54" s="46" t="inlineStr">
        <is>
          <t>Wk 1</t>
        </is>
      </c>
      <c r="H54" s="46" t="inlineStr">
        <is>
          <t>amazon.com/s?k=safety+glasses+ANSI</t>
        </is>
      </c>
      <c r="I54" s="46" t="inlineStr">
        <is>
          <t>TOOL — Walkthrough §1.1: "mandatory while soldering". Don't skip.</t>
        </is>
      </c>
      <c r="J54" s="40" t="inlineStr">
        <is>
          <t>Tool</t>
        </is>
      </c>
    </row>
    <row r="55" ht="42" customHeight="1" s="33">
      <c r="A55" s="40" t="inlineStr">
        <is>
          <t>To order</t>
        </is>
      </c>
      <c r="B55" s="46" t="inlineStr">
        <is>
          <t>Wire strippers (auto-adjusting)</t>
        </is>
      </c>
      <c r="C55" s="46" t="n">
        <v>1</v>
      </c>
      <c r="D55" s="46" t="inlineStr">
        <is>
          <t>Amazon</t>
        </is>
      </c>
      <c r="E55" s="47" t="n">
        <v>18</v>
      </c>
      <c r="F55" s="48">
        <f>C55*E55</f>
        <v/>
      </c>
      <c r="G55" s="46" t="inlineStr">
        <is>
          <t>Wk 2</t>
        </is>
      </c>
      <c r="H55" s="46" t="inlineStr">
        <is>
          <t>amazon.com/s?k=auto+wire+strippers</t>
        </is>
      </c>
      <c r="I55" s="46" t="inlineStr">
        <is>
          <t>TOOL — Walkthrough §1.1: "strongly recommended". Self-adjusting type saves tons of time on 84+ wire pairs.</t>
        </is>
      </c>
      <c r="J55" s="40" t="inlineStr">
        <is>
          <t>Tool</t>
        </is>
      </c>
    </row>
    <row r="56" ht="42" customHeight="1" s="33">
      <c r="A56" s="40" t="inlineStr">
        <is>
          <t>To order</t>
        </is>
      </c>
      <c r="B56" s="46" t="inlineStr">
        <is>
          <t>Heat-resistant silicone work mat</t>
        </is>
      </c>
      <c r="C56" s="46" t="n">
        <v>1</v>
      </c>
      <c r="D56" s="46" t="inlineStr">
        <is>
          <t>Amazon</t>
        </is>
      </c>
      <c r="E56" s="47" t="n">
        <v>15</v>
      </c>
      <c r="F56" s="48">
        <f>C56*E56</f>
        <v/>
      </c>
      <c r="G56" s="46" t="inlineStr">
        <is>
          <t>Wk 1</t>
        </is>
      </c>
      <c r="H56" s="46" t="inlineStr">
        <is>
          <t>amazon.com/s?k=silicone+soldering+mat</t>
        </is>
      </c>
      <c r="I56" s="46" t="inlineStr">
        <is>
          <t>TOOL — Walkthrough §1.1. Protects desk + organizes screws via magnetic sections (some have them).</t>
        </is>
      </c>
      <c r="J56" s="40" t="inlineStr">
        <is>
          <t>Tool</t>
        </is>
      </c>
    </row>
    <row r="57" ht="42" customHeight="1" s="33">
      <c r="A57" s="37" t="inlineStr">
        <is>
          <t>WAVE 2 — Gantry frame (order Week 6 per walkthrough)</t>
        </is>
      </c>
      <c r="B57" s="38" t="n"/>
      <c r="C57" s="38" t="n"/>
      <c r="D57" s="38" t="n"/>
      <c r="E57" s="38" t="n"/>
      <c r="F57" s="38" t="n"/>
      <c r="G57" s="38" t="n"/>
      <c r="H57" s="38" t="n"/>
      <c r="I57" s="39" t="n"/>
      <c r="J57" s="40" t="n"/>
    </row>
    <row r="58" ht="42" customHeight="1" s="33">
      <c r="A58" s="40" t="inlineStr">
        <is>
          <t>To order</t>
        </is>
      </c>
      <c r="B58" s="49" t="inlineStr">
        <is>
          <t>2020 V-slot aluminum extrusion (4m total, pre-cut if available)</t>
        </is>
      </c>
      <c r="C58" s="49" t="n">
        <v>1</v>
      </c>
      <c r="D58" s="49" t="inlineStr">
        <is>
          <t>Amazon / OpenBuilds</t>
        </is>
      </c>
      <c r="E58" s="50" t="n">
        <v>50</v>
      </c>
      <c r="F58" s="51">
        <f>C58*E58</f>
        <v/>
      </c>
      <c r="G58" s="49" t="inlineStr">
        <is>
          <t>Wk 7</t>
        </is>
      </c>
      <c r="H58" s="49" t="inlineStr">
        <is>
          <t>openbuilds.com — 2020 V-slot</t>
        </is>
      </c>
      <c r="I58" s="49" t="inlineStr">
        <is>
          <t>Cuts needed: 2× 400mm (X), 2× 280mm (Y), 4× 60mm corner stiffeners. Order pre-cut if vendor offers.</t>
        </is>
      </c>
      <c r="J58" s="40" t="inlineStr">
        <is>
          <t>Wave 2</t>
        </is>
      </c>
    </row>
    <row r="59" ht="42" customHeight="1" s="33">
      <c r="A59" s="40" t="inlineStr">
        <is>
          <t>To order</t>
        </is>
      </c>
      <c r="B59" s="49" t="inlineStr">
        <is>
          <t>2020 corner brackets + T-nuts (100pc assortment)</t>
        </is>
      </c>
      <c r="C59" s="49" t="n">
        <v>1</v>
      </c>
      <c r="D59" s="49" t="inlineStr">
        <is>
          <t>Amazon kit</t>
        </is>
      </c>
      <c r="E59" s="50" t="n">
        <v>25</v>
      </c>
      <c r="F59" s="51">
        <f>C59*E59</f>
        <v/>
      </c>
      <c r="G59" s="49" t="inlineStr">
        <is>
          <t>Wk 7</t>
        </is>
      </c>
      <c r="H59" s="49" t="inlineStr">
        <is>
          <t>amazon.com/s?k=2020+corner+bracket+T+nut+kit</t>
        </is>
      </c>
      <c r="I59" s="49" t="inlineStr">
        <is>
          <t>Frame assembly hardware.</t>
        </is>
      </c>
      <c r="J59" s="40" t="inlineStr">
        <is>
          <t>Wave 2</t>
        </is>
      </c>
    </row>
    <row r="60" ht="42" customHeight="1" s="33">
      <c r="A60" s="40" t="inlineStr">
        <is>
          <t>To order</t>
        </is>
      </c>
      <c r="B60" s="49" t="inlineStr">
        <is>
          <t>NEMA 17 stepper motors (1.5-1.7A)</t>
        </is>
      </c>
      <c r="C60" s="49" t="n">
        <v>2</v>
      </c>
      <c r="D60" s="49" t="inlineStr">
        <is>
          <t>Amazon</t>
        </is>
      </c>
      <c r="E60" s="50" t="n">
        <v>12.5</v>
      </c>
      <c r="F60" s="51">
        <f>C60*E60</f>
        <v/>
      </c>
      <c r="G60" s="49" t="inlineStr">
        <is>
          <t>Wk 7</t>
        </is>
      </c>
      <c r="H60" s="49" t="inlineStr">
        <is>
          <t>amazon.com/s?k=NEMA+17+stepper+1.7A</t>
        </is>
      </c>
      <c r="I60" s="49" t="inlineStr">
        <is>
          <t>Standard 3D-printer steppers.</t>
        </is>
      </c>
      <c r="J60" s="40" t="inlineStr">
        <is>
          <t>Wave 2</t>
        </is>
      </c>
    </row>
    <row r="61" ht="42" customHeight="1" s="33">
      <c r="A61" s="40" t="inlineStr">
        <is>
          <t>To order</t>
        </is>
      </c>
      <c r="B61" s="49" t="inlineStr">
        <is>
          <t>CNC Shield V3 + 2× A4988 drivers + heatsinks</t>
        </is>
      </c>
      <c r="C61" s="49" t="n">
        <v>1</v>
      </c>
      <c r="D61" s="49" t="inlineStr">
        <is>
          <t>Amazon kit</t>
        </is>
      </c>
      <c r="E61" s="50" t="n">
        <v>25</v>
      </c>
      <c r="F61" s="51">
        <f>C61*E61</f>
        <v/>
      </c>
      <c r="G61" s="49" t="inlineStr">
        <is>
          <t>Wk 7</t>
        </is>
      </c>
      <c r="H61" s="49" t="inlineStr">
        <is>
          <t>amazon.com/s?k=CNC+Shield+V3+A4988+kit</t>
        </is>
      </c>
      <c r="I61" s="49" t="inlineStr">
        <is>
          <t>Comes as kit; ignore the A-axis driver.</t>
        </is>
      </c>
      <c r="J61" s="40" t="inlineStr">
        <is>
          <t>Wave 2</t>
        </is>
      </c>
    </row>
    <row r="62" ht="42" customHeight="1" s="33">
      <c r="A62" s="40" t="inlineStr">
        <is>
          <t>To order</t>
        </is>
      </c>
      <c r="B62" s="49" t="inlineStr">
        <is>
          <t>GT2 belt 6mm (3m) + 2× 20T pulleys (5mm bore)</t>
        </is>
      </c>
      <c r="C62" s="49" t="n">
        <v>1</v>
      </c>
      <c r="D62" s="49" t="inlineStr">
        <is>
          <t>Amazon</t>
        </is>
      </c>
      <c r="E62" s="50" t="n">
        <v>15</v>
      </c>
      <c r="F62" s="51">
        <f>C62*E62</f>
        <v/>
      </c>
      <c r="G62" s="49" t="inlineStr">
        <is>
          <t>Wk 7</t>
        </is>
      </c>
      <c r="H62" s="49" t="inlineStr">
        <is>
          <t>amazon.com/s?k=GT2+belt+6mm+20T+pulley</t>
        </is>
      </c>
      <c r="I62" s="49" t="inlineStr">
        <is>
          <t>Pulleys must match stepper shaft (5mm).</t>
        </is>
      </c>
      <c r="J62" s="40" t="inlineStr">
        <is>
          <t>Wave 2</t>
        </is>
      </c>
    </row>
    <row r="63" ht="42" customHeight="1" s="33">
      <c r="A63" s="40" t="inlineStr">
        <is>
          <t>To order</t>
        </is>
      </c>
      <c r="B63" s="49" t="inlineStr">
        <is>
          <t>V-slot wheels (×8) + bearings + spacers</t>
        </is>
      </c>
      <c r="C63" s="49" t="n">
        <v>1</v>
      </c>
      <c r="D63" s="49" t="inlineStr">
        <is>
          <t>Amazon / OpenBuilds kit</t>
        </is>
      </c>
      <c r="E63" s="50" t="n">
        <v>25</v>
      </c>
      <c r="F63" s="51">
        <f>C63*E63</f>
        <v/>
      </c>
      <c r="G63" s="49" t="inlineStr">
        <is>
          <t>Wk 7</t>
        </is>
      </c>
      <c r="H63" s="49" t="inlineStr">
        <is>
          <t>amazon.com/s?k=V-slot+wheel+kit+OpenBuilds</t>
        </is>
      </c>
      <c r="I63" s="49" t="inlineStr">
        <is>
          <t>Delrin or POM wheels. 4 per axis.</t>
        </is>
      </c>
      <c r="J63" s="40" t="inlineStr">
        <is>
          <t>Wave 2</t>
        </is>
      </c>
    </row>
    <row r="64" ht="42" customHeight="1" s="33">
      <c r="A64" s="40" t="inlineStr">
        <is>
          <t>To order</t>
        </is>
      </c>
      <c r="B64" s="49" t="inlineStr">
        <is>
          <t>Microswitch limit switches</t>
        </is>
      </c>
      <c r="C64" s="49" t="n">
        <v>4</v>
      </c>
      <c r="D64" s="49" t="inlineStr">
        <is>
          <t>Amazon multipack</t>
        </is>
      </c>
      <c r="E64" s="50" t="n">
        <v>2</v>
      </c>
      <c r="F64" s="51">
        <f>C64*E64</f>
        <v/>
      </c>
      <c r="G64" s="49" t="inlineStr">
        <is>
          <t>Wk 7</t>
        </is>
      </c>
      <c r="H64" s="49" t="inlineStr">
        <is>
          <t>amazon.com/s?k=microswitch+limit+switch</t>
        </is>
      </c>
      <c r="I64" s="49" t="inlineStr">
        <is>
          <t>2 used (X-min, Y-min), 2 spares.</t>
        </is>
      </c>
      <c r="J64" s="40" t="inlineStr">
        <is>
          <t>Wave 2</t>
        </is>
      </c>
    </row>
    <row r="65" ht="42" customHeight="1" s="33">
      <c r="A65" s="37" t="inlineStr">
        <is>
          <t>WAVE 2 — Mouse end-effector</t>
        </is>
      </c>
      <c r="B65" s="38" t="n"/>
      <c r="C65" s="38" t="n"/>
      <c r="D65" s="38" t="n"/>
      <c r="E65" s="38" t="n"/>
      <c r="F65" s="38" t="n"/>
      <c r="G65" s="38" t="n"/>
      <c r="H65" s="38" t="n"/>
      <c r="I65" s="39" t="n"/>
      <c r="J65" s="40" t="n"/>
    </row>
    <row r="66" ht="42" customHeight="1" s="33">
      <c r="A66" s="40" t="inlineStr">
        <is>
          <t>To order</t>
        </is>
      </c>
      <c r="B66" s="49" t="inlineStr">
        <is>
          <t>SG90 micro servo (multipack)</t>
        </is>
      </c>
      <c r="C66" s="49" t="n">
        <v>2</v>
      </c>
      <c r="D66" s="49" t="inlineStr">
        <is>
          <t>Amazon</t>
        </is>
      </c>
      <c r="E66" s="50" t="n">
        <v>2.5</v>
      </c>
      <c r="F66" s="51">
        <f>C66*E66</f>
        <v/>
      </c>
      <c r="G66" s="49" t="inlineStr">
        <is>
          <t>Wk 8</t>
        </is>
      </c>
      <c r="H66" s="49" t="inlineStr">
        <is>
          <t>amazon.com/s?k=SG90+servo+5pack</t>
        </is>
      </c>
      <c r="I66" s="49" t="inlineStr">
        <is>
          <t>Hobby servos for L/R click levers.</t>
        </is>
      </c>
      <c r="J66" s="40" t="inlineStr">
        <is>
          <t>Wave 2</t>
        </is>
      </c>
    </row>
    <row r="67" ht="42" customHeight="1" s="33">
      <c r="A67" s="40" t="inlineStr">
        <is>
          <t>To order</t>
        </is>
      </c>
      <c r="B67" s="49" t="inlineStr">
        <is>
          <t>Logitech B100 USB optical mouse</t>
        </is>
      </c>
      <c r="C67" s="49" t="n">
        <v>1</v>
      </c>
      <c r="D67" s="49" t="inlineStr">
        <is>
          <t>Amazon</t>
        </is>
      </c>
      <c r="E67" s="50" t="n">
        <v>10</v>
      </c>
      <c r="F67" s="51">
        <f>C67*E67</f>
        <v/>
      </c>
      <c r="G67" s="49" t="inlineStr">
        <is>
          <t>Wk 8</t>
        </is>
      </c>
      <c r="H67" s="49" t="inlineStr">
        <is>
          <t>amazon.com/s?k=Logitech+B100</t>
        </is>
      </c>
      <c r="I67" s="49" t="inlineStr">
        <is>
          <t>Sacrifice mouse. Any cheap wired optical works.</t>
        </is>
      </c>
      <c r="J67" s="40" t="inlineStr">
        <is>
          <t>Wave 2</t>
        </is>
      </c>
    </row>
    <row r="68" ht="42" customHeight="1" s="33">
      <c r="A68" s="40" t="inlineStr">
        <is>
          <t>To order</t>
        </is>
      </c>
      <c r="B68" s="49" t="inlineStr">
        <is>
          <t>Hard plastic mousepad (large, ~90×40cm)</t>
        </is>
      </c>
      <c r="C68" s="49" t="n">
        <v>1</v>
      </c>
      <c r="D68" s="49" t="inlineStr">
        <is>
          <t>Amazon</t>
        </is>
      </c>
      <c r="E68" s="50" t="n">
        <v>15</v>
      </c>
      <c r="F68" s="51">
        <f>C68*E68</f>
        <v/>
      </c>
      <c r="G68" s="49" t="inlineStr">
        <is>
          <t>Wk 8</t>
        </is>
      </c>
      <c r="H68" s="49" t="inlineStr">
        <is>
          <t>amazon.com/s?k=hard+plastic+mousepad+90x40</t>
        </is>
      </c>
      <c r="I68" s="49" t="inlineStr">
        <is>
          <t>Hard surface for consistent optical tracking. Walkthrough troubleshooting flags cloth pads as a jitter source.</t>
        </is>
      </c>
      <c r="J68" s="40" t="inlineStr">
        <is>
          <t>Wave 2</t>
        </is>
      </c>
    </row>
    <row r="69" ht="42" customHeight="1" s="33">
      <c r="A69" s="37" t="inlineStr">
        <is>
          <t>WAVE 2 — Vision</t>
        </is>
      </c>
      <c r="B69" s="38" t="n"/>
      <c r="C69" s="38" t="n"/>
      <c r="D69" s="38" t="n"/>
      <c r="E69" s="38" t="n"/>
      <c r="F69" s="38" t="n"/>
      <c r="G69" s="38" t="n"/>
      <c r="H69" s="38" t="n"/>
      <c r="I69" s="39" t="n"/>
      <c r="J69" s="40" t="n"/>
    </row>
    <row r="70" ht="42" customHeight="1" s="33">
      <c r="A70" s="40" t="inlineStr">
        <is>
          <t>To order</t>
        </is>
      </c>
      <c r="B70" s="49" t="inlineStr">
        <is>
          <t>Logitech C920 webcam (refurbished OK)</t>
        </is>
      </c>
      <c r="C70" s="49" t="n">
        <v>1</v>
      </c>
      <c r="D70" s="49" t="inlineStr">
        <is>
          <t>Amazon</t>
        </is>
      </c>
      <c r="E70" s="50" t="n">
        <v>70</v>
      </c>
      <c r="F70" s="51">
        <f>C70*E70</f>
        <v/>
      </c>
      <c r="G70" s="49" t="inlineStr">
        <is>
          <t>Wk 9</t>
        </is>
      </c>
      <c r="H70" s="49" t="inlineStr">
        <is>
          <t>amazon.com/s?k=Logitech+C920</t>
        </is>
      </c>
      <c r="I70" s="49" t="inlineStr">
        <is>
          <t>Or comparable 1080p. Refurb $40–50 fine. PRD §4.4.</t>
        </is>
      </c>
      <c r="J70" s="40" t="inlineStr">
        <is>
          <t>Wave 2</t>
        </is>
      </c>
    </row>
    <row r="71" ht="42" customHeight="1" s="33">
      <c r="A71" s="40" t="inlineStr">
        <is>
          <t>To order</t>
        </is>
      </c>
      <c r="B71" s="49" t="inlineStr">
        <is>
          <t>Articulating arm / microphone-style boom mount</t>
        </is>
      </c>
      <c r="C71" s="49" t="n">
        <v>1</v>
      </c>
      <c r="D71" s="49" t="inlineStr">
        <is>
          <t>Amazon</t>
        </is>
      </c>
      <c r="E71" s="50" t="n">
        <v>20</v>
      </c>
      <c r="F71" s="51">
        <f>C71*E71</f>
        <v/>
      </c>
      <c r="G71" s="49" t="inlineStr">
        <is>
          <t>Wk 9</t>
        </is>
      </c>
      <c r="H71" s="49" t="inlineStr">
        <is>
          <t>amazon.com/s?k=articulating+webcam+arm</t>
        </is>
      </c>
      <c r="I71" s="49" t="inlineStr">
        <is>
          <t>Clamps to bench, holds webcam 250–350mm above screen.</t>
        </is>
      </c>
      <c r="J71" s="40" t="inlineStr">
        <is>
          <t>Wave 2</t>
        </is>
      </c>
    </row>
    <row r="72" ht="42" customHeight="1" s="33">
      <c r="A72" s="40" t="inlineStr">
        <is>
          <t>To order</t>
        </is>
      </c>
      <c r="B72" s="49" t="inlineStr">
        <is>
          <t>Circular polarizing filter (clip-on for webcam)</t>
        </is>
      </c>
      <c r="C72" s="49" t="n">
        <v>1</v>
      </c>
      <c r="D72" s="49" t="inlineStr">
        <is>
          <t>Amazon</t>
        </is>
      </c>
      <c r="E72" s="50" t="n">
        <v>10</v>
      </c>
      <c r="F72" s="51">
        <f>C72*E72</f>
        <v/>
      </c>
      <c r="G72" s="49" t="inlineStr">
        <is>
          <t>Wk 9</t>
        </is>
      </c>
      <c r="H72" s="49" t="inlineStr">
        <is>
          <t>amazon.com/s?k=circular+polarizing+filter+webcam</t>
        </is>
      </c>
      <c r="I72" s="49" t="inlineStr">
        <is>
          <t>Reduces screen glare. PRD §4.4.</t>
        </is>
      </c>
      <c r="J72" s="40" t="inlineStr">
        <is>
          <t>Wave 2</t>
        </is>
      </c>
    </row>
    <row r="73" ht="42" customHeight="1" s="33">
      <c r="A73" s="40" t="inlineStr">
        <is>
          <t>To order</t>
        </is>
      </c>
      <c r="B73" s="43" t="inlineStr">
        <is>
          <t>LED task lamp (diffuse, ≥300 lux at screen)</t>
        </is>
      </c>
      <c r="C73" s="43" t="n">
        <v>1</v>
      </c>
      <c r="D73" s="43" t="inlineStr">
        <is>
          <t>Amazon — IKEA / cheap LED</t>
        </is>
      </c>
      <c r="E73" s="44" t="n">
        <v>25</v>
      </c>
      <c r="F73" s="45">
        <f>C73*E73</f>
        <v/>
      </c>
      <c r="G73" s="43" t="inlineStr">
        <is>
          <t>Wk 9</t>
        </is>
      </c>
      <c r="H73" s="43" t="inlineStr">
        <is>
          <t>amazon.com/s?k=LED+task+lamp+dimmable</t>
        </is>
      </c>
      <c r="I73" s="43" t="inlineStr">
        <is>
          <t>GAP — PRD §4.4 explicitly requires: "One indirect, diffuse LED task lamp providing ≥300 lux at the screen surface." Wasn't on either of walkthrough's waves. Critical for stable OCR/template matching.</t>
        </is>
      </c>
      <c r="J73" s="40" t="inlineStr">
        <is>
          <t>Wave 2</t>
        </is>
      </c>
    </row>
    <row r="74" ht="42" customHeight="1" s="33">
      <c r="A74" s="37" t="inlineStr">
        <is>
          <t>WAVE 2 — Base + cabling + safety</t>
        </is>
      </c>
      <c r="B74" s="38" t="n"/>
      <c r="C74" s="38" t="n"/>
      <c r="D74" s="38" t="n"/>
      <c r="E74" s="38" t="n"/>
      <c r="F74" s="38" t="n"/>
      <c r="G74" s="38" t="n"/>
      <c r="H74" s="38" t="n"/>
      <c r="I74" s="39" t="n"/>
      <c r="J74" s="40" t="n"/>
    </row>
    <row r="75" ht="42" customHeight="1" s="33">
      <c r="A75" s="40" t="inlineStr">
        <is>
          <t>To order</t>
        </is>
      </c>
      <c r="B75" s="49" t="inlineStr">
        <is>
          <t>Plywood or HDPE base board, 600×450×12mm</t>
        </is>
      </c>
      <c r="C75" s="49" t="n">
        <v>1</v>
      </c>
      <c r="D75" s="49" t="inlineStr">
        <is>
          <t>Local hardware store</t>
        </is>
      </c>
      <c r="E75" s="50" t="n">
        <v>20</v>
      </c>
      <c r="F75" s="51">
        <f>C75*E75</f>
        <v/>
      </c>
      <c r="G75" s="49" t="inlineStr">
        <is>
          <t>Wk 7</t>
        </is>
      </c>
      <c r="H75" s="49" t="inlineStr">
        <is>
          <t>Home Depot / Lowes — cut to size</t>
        </is>
      </c>
      <c r="I75" s="49" t="inlineStr">
        <is>
          <t>Carries everything. Cut to size at the store.</t>
        </is>
      </c>
      <c r="J75" s="40" t="inlineStr">
        <is>
          <t>Wave 2</t>
        </is>
      </c>
    </row>
    <row r="76" ht="42" customHeight="1" s="33">
      <c r="A76" s="40" t="inlineStr">
        <is>
          <t>To order</t>
        </is>
      </c>
      <c r="B76" s="49" t="inlineStr">
        <is>
          <t>Cable raceway / wire chase, 1m</t>
        </is>
      </c>
      <c r="C76" s="49" t="n">
        <v>1</v>
      </c>
      <c r="D76" s="49" t="inlineStr">
        <is>
          <t>Amazon</t>
        </is>
      </c>
      <c r="E76" s="50" t="n">
        <v>10</v>
      </c>
      <c r="F76" s="51">
        <f>C76*E76</f>
        <v/>
      </c>
      <c r="G76" s="49" t="inlineStr">
        <is>
          <t>Wk 12</t>
        </is>
      </c>
      <c r="H76" s="49" t="inlineStr">
        <is>
          <t>amazon.com/s?k=wire+raceway+1m</t>
        </is>
      </c>
      <c r="I76" s="49" t="inlineStr">
        <is>
          <t>Keeps rear of rig tidy.</t>
        </is>
      </c>
      <c r="J76" s="40" t="inlineStr">
        <is>
          <t>Wave 2</t>
        </is>
      </c>
    </row>
    <row r="77" ht="42" customHeight="1" s="33">
      <c r="A77" s="40" t="inlineStr">
        <is>
          <t>To order</t>
        </is>
      </c>
      <c r="B77" s="49" t="inlineStr">
        <is>
          <t>E-stop pushbutton, mushroom head, NC contact</t>
        </is>
      </c>
      <c r="C77" s="49" t="n">
        <v>1</v>
      </c>
      <c r="D77" s="49" t="inlineStr">
        <is>
          <t>Amazon industrial</t>
        </is>
      </c>
      <c r="E77" s="50" t="n">
        <v>15</v>
      </c>
      <c r="F77" s="51">
        <f>C77*E77</f>
        <v/>
      </c>
      <c r="G77" s="49" t="inlineStr">
        <is>
          <t>Wk 7</t>
        </is>
      </c>
      <c r="H77" s="49" t="inlineStr">
        <is>
          <t>amazon.com/s?k=E-stop+mushroom+NC</t>
        </is>
      </c>
      <c r="I77" s="49" t="inlineStr">
        <is>
          <t>Wires into PSU remote-disable line. PRD §4.5.4.</t>
        </is>
      </c>
      <c r="J77" s="40" t="inlineStr">
        <is>
          <t>Wave 2</t>
        </is>
      </c>
    </row>
    <row r="78" ht="42" customHeight="1" s="33">
      <c r="A78" s="40" t="inlineStr">
        <is>
          <t>To order</t>
        </is>
      </c>
      <c r="B78" s="49" t="inlineStr">
        <is>
          <t>DC relay (40A, 5V coil)</t>
        </is>
      </c>
      <c r="C78" s="49" t="n">
        <v>1</v>
      </c>
      <c r="D78" s="49" t="inlineStr">
        <is>
          <t>Amazon</t>
        </is>
      </c>
      <c r="E78" s="50" t="n">
        <v>10</v>
      </c>
      <c r="F78" s="51">
        <f>C78*E78</f>
        <v/>
      </c>
      <c r="G78" s="49" t="inlineStr">
        <is>
          <t>Wk 7</t>
        </is>
      </c>
      <c r="H78" s="49" t="inlineStr">
        <is>
          <t>amazon.com/s?k=40A+5V+relay+module</t>
        </is>
      </c>
      <c r="I78" s="49" t="inlineStr">
        <is>
          <t>Optional alternative if PSU lacks remote-disable terminal. Switches 12V to actuators.</t>
        </is>
      </c>
      <c r="J78" s="40" t="inlineStr">
        <is>
          <t>Wave 2</t>
        </is>
      </c>
    </row>
    <row r="79" ht="42" customHeight="1" s="33">
      <c r="A79" s="40" t="inlineStr">
        <is>
          <t>To order</t>
        </is>
      </c>
      <c r="B79" s="49" t="inlineStr">
        <is>
          <t>XT60 or screw-terminal connectors (12V distribution)</t>
        </is>
      </c>
      <c r="C79" s="49" t="n">
        <v>1</v>
      </c>
      <c r="D79" s="49" t="inlineStr">
        <is>
          <t>Amazon</t>
        </is>
      </c>
      <c r="E79" s="50" t="n">
        <v>10</v>
      </c>
      <c r="F79" s="51">
        <f>C79*E79</f>
        <v/>
      </c>
      <c r="G79" s="49" t="inlineStr">
        <is>
          <t>Wk 7</t>
        </is>
      </c>
      <c r="H79" s="49" t="inlineStr">
        <is>
          <t>amazon.com/s?k=XT60+connector+pack</t>
        </is>
      </c>
      <c r="I79" s="49" t="inlineStr">
        <is>
          <t>Whichever you prefer for clean 12V distribution.</t>
        </is>
      </c>
      <c r="J79" s="40" t="inlineStr">
        <is>
          <t>Wave 2</t>
        </is>
      </c>
    </row>
    <row r="80" ht="42" customHeight="1" s="33">
      <c r="A80" s="40" t="inlineStr">
        <is>
          <t>To order</t>
        </is>
      </c>
      <c r="B80" s="49" t="inlineStr">
        <is>
          <t>Misc: zip ties + label-maker tape + electrical tape</t>
        </is>
      </c>
      <c r="C80" s="49" t="n">
        <v>1</v>
      </c>
      <c r="D80" s="49" t="inlineStr">
        <is>
          <t>Amazon / hardware</t>
        </is>
      </c>
      <c r="E80" s="50" t="n">
        <v>15</v>
      </c>
      <c r="F80" s="51">
        <f>C80*E80</f>
        <v/>
      </c>
      <c r="G80" s="49" t="inlineStr">
        <is>
          <t>Wk 12</t>
        </is>
      </c>
      <c r="H80" s="49" t="inlineStr">
        <is>
          <t>amazon.com/s?k=zip+tie+assortment+label+maker</t>
        </is>
      </c>
      <c r="I80" s="49" t="inlineStr">
        <is>
          <t>Final cable management.</t>
        </is>
      </c>
      <c r="J80" s="40" t="inlineStr">
        <is>
          <t>Wave 2</t>
        </is>
      </c>
    </row>
    <row r="81" ht="42" customHeight="1" s="33">
      <c r="A81" s="37" t="inlineStr">
        <is>
          <t>OPTIONAL / RECOMMENDED ADD-ONS</t>
        </is>
      </c>
      <c r="B81" s="38" t="n"/>
      <c r="C81" s="38" t="n"/>
      <c r="D81" s="38" t="n"/>
      <c r="E81" s="38" t="n"/>
      <c r="F81" s="38" t="n"/>
      <c r="G81" s="38" t="n"/>
      <c r="H81" s="38" t="n"/>
      <c r="I81" s="39" t="n"/>
      <c r="J81" s="40" t="n"/>
    </row>
    <row r="82" ht="42" customHeight="1" s="33">
      <c r="A82" s="40" t="inlineStr">
        <is>
          <t>To order</t>
        </is>
      </c>
      <c r="B82" s="46" t="inlineStr">
        <is>
          <t>Helping-hands or PCB holder</t>
        </is>
      </c>
      <c r="C82" s="46" t="n">
        <v>1</v>
      </c>
      <c r="D82" s="46" t="inlineStr">
        <is>
          <t>Amazon</t>
        </is>
      </c>
      <c r="E82" s="47" t="n">
        <v>20</v>
      </c>
      <c r="F82" s="48">
        <f>C82*E82</f>
        <v/>
      </c>
      <c r="G82" s="46" t="inlineStr">
        <is>
          <t>Wk 5</t>
        </is>
      </c>
      <c r="H82" s="46" t="inlineStr">
        <is>
          <t>amazon.com/s?k=helping+hands+PCB+holder</t>
        </is>
      </c>
      <c r="I82" s="46" t="inlineStr">
        <is>
          <t>OPTIONAL — Makes the 260-joint Week 5 solder session much less painful. Highly recommended for first-time builders.</t>
        </is>
      </c>
      <c r="J82" s="40" t="inlineStr">
        <is>
          <t>Optional</t>
        </is>
      </c>
    </row>
    <row r="83" ht="42" customHeight="1" s="33">
      <c r="A83" s="40" t="inlineStr">
        <is>
          <t>To order</t>
        </is>
      </c>
      <c r="B83" s="46" t="inlineStr">
        <is>
          <t>Matte anti-glare film for MacBook screen</t>
        </is>
      </c>
      <c r="C83" s="46" t="n">
        <v>1</v>
      </c>
      <c r="D83" s="46" t="inlineStr">
        <is>
          <t>Amazon</t>
        </is>
      </c>
      <c r="E83" s="47" t="n">
        <v>15</v>
      </c>
      <c r="F83" s="48">
        <f>C83*E83</f>
        <v/>
      </c>
      <c r="G83" s="46" t="inlineStr">
        <is>
          <t>Wk 9</t>
        </is>
      </c>
      <c r="H83" s="46" t="inlineStr">
        <is>
          <t>amazon.com/s?k=14+inch+MacBook+matte+screen+protector</t>
        </is>
      </c>
      <c r="I83" s="46" t="inlineStr">
        <is>
          <t>OPTIONAL — PRD §4.4: "matte anti-glare film optional on the MacBook screen if reflections are persistent." Buy if polarizer alone isn't cutting reflections.</t>
        </is>
      </c>
      <c r="J83" s="40" t="inlineStr">
        <is>
          <t>Optional</t>
        </is>
      </c>
    </row>
    <row r="84" ht="42" customHeight="1" s="33">
      <c r="A84" s="40" t="inlineStr">
        <is>
          <t>To order</t>
        </is>
      </c>
      <c r="B84" s="46" t="inlineStr">
        <is>
          <t>12V 50A PSU upgrade (S-600-12)</t>
        </is>
      </c>
      <c r="C84" s="46" t="n">
        <v>1</v>
      </c>
      <c r="D84" s="46" t="inlineStr">
        <is>
          <t>Amazon</t>
        </is>
      </c>
      <c r="E84" s="47" t="n">
        <v>80</v>
      </c>
      <c r="F84" s="48">
        <f>C84*E84</f>
        <v/>
      </c>
      <c r="G84" s="46" t="inlineStr">
        <is>
          <t>Wk 2</t>
        </is>
      </c>
      <c r="H84" s="46" t="inlineStr">
        <is>
          <t>amazon.com/s?k=S-600-12+12V+power+supply</t>
        </is>
      </c>
      <c r="I84" s="46" t="inlineStr">
        <is>
          <t>OPTIONAL — PRD §4.5.1 notes 50A upgrade (~+$20) gives margin for fault-mode scenarios. Skip if buying the 40A above.</t>
        </is>
      </c>
      <c r="J84" s="40" t="inlineStr">
        <is>
          <t>Optional</t>
        </is>
      </c>
    </row>
    <row r="85" ht="42" customHeight="1" s="33">
      <c r="A85" s="40" t="inlineStr">
        <is>
          <t>To order</t>
        </is>
      </c>
      <c r="B85" s="46" t="inlineStr">
        <is>
          <t>Power strip with switch (mains kill)</t>
        </is>
      </c>
      <c r="C85" s="46" t="n">
        <v>1</v>
      </c>
      <c r="D85" s="46" t="inlineStr">
        <is>
          <t>Amazon</t>
        </is>
      </c>
      <c r="E85" s="47" t="n">
        <v>15</v>
      </c>
      <c r="F85" s="48">
        <f>C85*E85</f>
        <v/>
      </c>
      <c r="G85" s="46" t="inlineStr">
        <is>
          <t>Wk 1</t>
        </is>
      </c>
      <c r="H85" s="46" t="inlineStr">
        <is>
          <t>amazon.com/s?k=power+strip+with+switch</t>
        </is>
      </c>
      <c r="I85" s="46" t="inlineStr">
        <is>
          <t>OPTIONAL — Convenient one-touch mains kill in addition to the E-stop on the 12V side.</t>
        </is>
      </c>
      <c r="J85" s="40" t="inlineStr">
        <is>
          <t>Optional</t>
        </is>
      </c>
    </row>
    <row r="86" ht="42" customHeight="1" s="33">
      <c r="A86" s="40" t="inlineStr">
        <is>
          <t>To order</t>
        </is>
      </c>
      <c r="B86" s="46" t="inlineStr">
        <is>
          <t>USB-A to USB-C adapter (2-pack)</t>
        </is>
      </c>
      <c r="C86" s="46" t="n">
        <v>1</v>
      </c>
      <c r="D86" s="46" t="inlineStr">
        <is>
          <t>Amazon</t>
        </is>
      </c>
      <c r="E86" s="47" t="n">
        <v>8</v>
      </c>
      <c r="F86" s="48">
        <f>C86*E86</f>
        <v/>
      </c>
      <c r="G86" s="46" t="inlineStr">
        <is>
          <t>Wk 2</t>
        </is>
      </c>
      <c r="H86" s="46" t="inlineStr">
        <is>
          <t>amazon.com/s?k=USB-A+to+USB-C+adapter</t>
        </is>
      </c>
      <c r="I86" s="46" t="inlineStr">
        <is>
          <t>OPTIONAL — Backup if the powered hub fails or for testing one Arduino at a time on the MacBook directly.</t>
        </is>
      </c>
      <c r="J86" s="40" t="inlineStr">
        <is>
          <t>Optional</t>
        </is>
      </c>
    </row>
    <row r="87" ht="22" customHeight="1" s="33">
      <c r="A87" s="52" t="inlineStr">
        <is>
          <t>BIG-SOLENOID ADAPTATIONS — empirical-validation + thermal mitigation (added per build review)</t>
        </is>
      </c>
    </row>
    <row r="88" ht="60" customHeight="1" s="33">
      <c r="A88" s="53" t="inlineStr">
        <is>
          <t>To order</t>
        </is>
      </c>
      <c r="B88" s="53" t="inlineStr">
        <is>
          <t>80mm USB cooling fan (5V, quiet, with mesh guard)</t>
        </is>
      </c>
      <c r="C88" s="53" t="n">
        <v>1</v>
      </c>
      <c r="D88" s="53" t="inlineStr">
        <is>
          <t>Amazon</t>
        </is>
      </c>
      <c r="E88" s="54" t="n">
        <v>9</v>
      </c>
      <c r="F88" s="55">
        <f>C88*E88</f>
        <v/>
      </c>
      <c r="G88" s="53" t="inlineStr">
        <is>
          <t>Wk 6</t>
        </is>
      </c>
      <c r="H88" s="53" t="inlineStr">
        <is>
          <t>amazon.com/s?k=80mm+USB+fan+quiet</t>
        </is>
      </c>
      <c r="I88" s="53" t="inlineStr">
        <is>
          <t>ADDED for big-solenoid plan. 100×300mA holding current = up to 30A peak — driver ICs (ULN2803) and PSU will heat-soak under PRD §7 1-hour endurance test. Aim airflow across the driver board and behind solenoid bank. Powered by spare USB-A on the hub.</t>
        </is>
      </c>
      <c r="J88" s="53" t="inlineStr">
        <is>
          <t>Wave 1</t>
        </is>
      </c>
    </row>
    <row r="89" ht="75" customHeight="1" s="33">
      <c r="A89" s="53" t="inlineStr">
        <is>
          <t>To order</t>
        </is>
      </c>
      <c r="B89" s="53" t="inlineStr">
        <is>
          <t>Prototype test kit: same 5N solenoid ×4, expedited</t>
        </is>
      </c>
      <c r="C89" s="53" t="n">
        <v>1</v>
      </c>
      <c r="D89" s="53" t="inlineStr">
        <is>
          <t>Amazon (fast ship)</t>
        </is>
      </c>
      <c r="E89" s="54" t="n">
        <v>22</v>
      </c>
      <c r="F89" s="55">
        <f>C89*E89</f>
        <v/>
      </c>
      <c r="G89" s="53" t="inlineStr">
        <is>
          <t>Wk 1</t>
        </is>
      </c>
      <c r="H89" s="53" t="inlineStr">
        <is>
          <t>amazon.com/s?k=DC+12V+push+pull+solenoid+5N</t>
        </is>
      </c>
      <c r="I89" s="53" t="inlineStr">
        <is>
          <t>ADDED — recommended but skippable. Buy 4 of the SAME solenoid from a fast-shipping source so you can validate force/keystroke/CAD-plate gap on the actual Nuphy Air75 V3 BEFORE the 100-unit bulk order arrives. Cheap insurance against discovering form-factor or actuation issues at week 6. Set status to 'Skip' if you can wait 4–6 weeks for the bulk order to land before any testing.</t>
        </is>
      </c>
      <c r="J89" s="53" t="inlineStr">
        <is>
          <t>Wave 1</t>
        </is>
      </c>
    </row>
    <row r="90" ht="60" customHeight="1" s="33">
      <c r="A90" s="53" t="inlineStr">
        <is>
          <t>To order</t>
        </is>
      </c>
      <c r="B90" s="53" t="inlineStr">
        <is>
          <t>Extra 22 AWG stranded wire — 100 ft additional</t>
        </is>
      </c>
      <c r="C90" s="53" t="n">
        <v>1</v>
      </c>
      <c r="D90" s="53" t="inlineStr">
        <is>
          <t>Amazon</t>
        </is>
      </c>
      <c r="E90" s="54" t="n">
        <v>12</v>
      </c>
      <c r="F90" s="55">
        <f>C90*E90</f>
        <v/>
      </c>
      <c r="G90" s="53" t="inlineStr">
        <is>
          <t>Wk 6</t>
        </is>
      </c>
      <c r="H90" s="53" t="inlineStr">
        <is>
          <t>amazon.com/s?k=22+AWG+stranded+silicone+wire+100ft</t>
        </is>
      </c>
      <c r="I90" s="53" t="inlineStr">
        <is>
          <t>ADDED — Big solenoids draw 300mA each = same wire gauge OK, but 100 solenoids (vs 90) need an extra ~30ft. Plus the bigger solenoid bodies push the matrix plate higher, so wire runs from the plate down to the driver board grow ~50mm each. Safer to over-order.</t>
        </is>
      </c>
      <c r="J90" s="53" t="inlineStr">
        <is>
          <t>Wave 1</t>
        </is>
      </c>
    </row>
    <row r="91" ht="15" customHeight="1" s="33">
      <c r="E91" s="56" t="n"/>
      <c r="F91" s="57" t="n"/>
    </row>
    <row r="92" ht="15" customHeight="1" s="33">
      <c r="E92" s="58" t="inlineStr">
        <is>
          <t>WAVE 1 (essentials)</t>
        </is>
      </c>
      <c r="F92" s="59">
        <f>SUMIF(J6:J90,"Wave 1",F6:F90)</f>
        <v/>
      </c>
    </row>
    <row r="93" ht="15" customHeight="1" s="33">
      <c r="E93" s="58" t="inlineStr">
        <is>
          <t>Tools (verify owned — only counted if buying)</t>
        </is>
      </c>
      <c r="F93" s="60">
        <f>SUMIF(J6:J90,"Tool",F6:F90)</f>
        <v/>
      </c>
    </row>
    <row r="94" ht="15" customHeight="1" s="33">
      <c r="E94" s="58" t="inlineStr">
        <is>
          <t>WAVE 2 (deferred to week 6)</t>
        </is>
      </c>
      <c r="F94" s="61">
        <f>SUMIF(J6:J90,"Wave 2",F6:F90)</f>
        <v/>
      </c>
    </row>
    <row r="95">
      <c r="E95" s="58" t="inlineStr">
        <is>
          <t>Optional / recommended</t>
        </is>
      </c>
      <c r="F95" s="62">
        <f>SUMIF(J6:J90,"Optional",F6:F90)</f>
        <v/>
      </c>
    </row>
    <row r="96">
      <c r="E96" s="63" t="inlineStr">
        <is>
          <t>PROJECT GRAND TOTAL (all categories)</t>
        </is>
      </c>
      <c r="F96" s="64">
        <f>SUM(F92:F95)</f>
        <v/>
      </c>
    </row>
    <row r="97">
      <c r="E97" s="58" t="inlineStr">
        <is>
          <t>Wave 1 + Wave 2 (essentials only)</t>
        </is>
      </c>
      <c r="F97" s="62">
        <f>F92+F94</f>
        <v/>
      </c>
    </row>
    <row r="98">
      <c r="E98" s="58" t="inlineStr">
        <is>
          <t>PRD budget ceiling reference</t>
        </is>
      </c>
      <c r="F98" s="62" t="n">
        <v>1500</v>
      </c>
    </row>
  </sheetData>
  <mergeCells count="22">
    <mergeCell ref="A65:I65"/>
    <mergeCell ref="A41:I41"/>
    <mergeCell ref="A46:I46"/>
    <mergeCell ref="A27:I27"/>
    <mergeCell ref="A3:I3"/>
    <mergeCell ref="A74:I74"/>
    <mergeCell ref="A12:I12"/>
    <mergeCell ref="A57:I57"/>
    <mergeCell ref="A2:I2"/>
    <mergeCell ref="A32:I32"/>
    <mergeCell ref="A23:I23"/>
    <mergeCell ref="A8:I8"/>
    <mergeCell ref="A43:I43"/>
    <mergeCell ref="A81:I81"/>
    <mergeCell ref="A87:J87"/>
    <mergeCell ref="A15:I15"/>
    <mergeCell ref="A49:I49"/>
    <mergeCell ref="A51:I51"/>
    <mergeCell ref="A36:I36"/>
    <mergeCell ref="A1:I1"/>
    <mergeCell ref="A6:I6"/>
    <mergeCell ref="A69:I69"/>
  </mergeCells>
  <conditionalFormatting sqref="A6:A86">
    <cfRule type="cellIs" rank="0" priority="2" equalAverage="0" operator="equal" aboveAverage="0" dxfId="0" text="" percent="0" bottom="0">
      <formula>"Verified"</formula>
    </cfRule>
    <cfRule type="cellIs" rank="0" priority="3" equalAverage="0" operator="equal" aboveAverage="0" dxfId="1" text="" percent="0" bottom="0">
      <formula>"Arrived"</formula>
    </cfRule>
    <cfRule type="cellIs" rank="0" priority="4" equalAverage="0" operator="equal" aboveAverage="0" dxfId="2" text="" percent="0" bottom="0">
      <formula>"Ordered"</formula>
    </cfRule>
    <cfRule type="cellIs" rank="0" priority="5" equalAverage="0" operator="equal" aboveAverage="0" dxfId="3" text="" percent="0" bottom="0">
      <formula>"To order"</formula>
    </cfRule>
    <cfRule type="cellIs" rank="0" priority="6" equalAverage="0" operator="equal" aboveAverage="0" dxfId="4" text="" percent="0" bottom="0">
      <formula>"Already own"</formula>
    </cfRule>
    <cfRule type="cellIs" rank="0" priority="7" equalAverage="0" operator="equal" aboveAverage="0" dxfId="5" text="" percent="0" bottom="0">
      <formula>"Skip"</formula>
    </cfRule>
  </conditionalFormatting>
  <conditionalFormatting sqref="A88:A90">
    <cfRule type="cellIs" priority="7" operator="equal" dxfId="6">
      <formula>"Verified"</formula>
    </cfRule>
    <cfRule type="cellIs" priority="8" operator="equal" dxfId="7">
      <formula>"Arrived"</formula>
    </cfRule>
    <cfRule type="cellIs" priority="9" operator="equal" dxfId="8">
      <formula>"Ordered"</formula>
    </cfRule>
    <cfRule type="cellIs" priority="10" operator="equal" dxfId="6">
      <formula>"Already own"</formula>
    </cfRule>
    <cfRule type="cellIs" priority="11" operator="equal" dxfId="9">
      <formula>"Skip"</formula>
    </cfRule>
  </conditionalFormatting>
  <dataValidations count="2">
    <dataValidation sqref="A7 A9:A11 A13:A14 A16:A22 A24:A26 A28:A31 A33:A35 A37:A40 A42 A44:A45 A47:A48 A50 A52:A56 A58:A64 A66:A68 A70:A73 A75:A80 A82:A86" showDropDown="0" showInputMessage="0" showErrorMessage="0" allowBlank="1" type="list" errorStyle="stop" operator="between">
      <formula1>"To order,Ordered,Arrived,Verified,Already own,Skip"</formula1>
      <formula2>0</formula2>
    </dataValidation>
    <dataValidation sqref="A88:A90" showDropDown="0" showInputMessage="0" showErrorMessage="0" allowBlank="1" type="list">
      <formula1>"To order,Ordered,Arrived,Verified,Already own,Skip"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32" min="1" max="1"/>
    <col width="14" customWidth="1" style="32" min="2" max="2"/>
    <col width="60" customWidth="1" style="32" min="3" max="3"/>
    <col width="55" customWidth="1" style="32" min="4" max="4"/>
  </cols>
  <sheetData>
    <row r="1" ht="17.35" customHeight="1" s="33">
      <c r="A1" s="65" t="inlineStr">
        <is>
          <t>Order in this sequence today to avoid being blocked</t>
        </is>
      </c>
    </row>
    <row r="2" ht="15" customHeight="1" s="33">
      <c r="A2" s="35" t="inlineStr">
        <is>
          <t>Wave 1 essentials + tools + critical gaps. Wave 2 stays deferred to week 6.</t>
        </is>
      </c>
    </row>
    <row r="4" ht="27.75" customHeight="1" s="33">
      <c r="A4" s="66" t="inlineStr">
        <is>
          <t>Cart</t>
        </is>
      </c>
      <c r="B4" s="66" t="inlineStr">
        <is>
          <t>Priority</t>
        </is>
      </c>
      <c r="C4" s="66" t="inlineStr">
        <is>
          <t>What to order</t>
        </is>
      </c>
      <c r="D4" s="66" t="inlineStr">
        <is>
          <t>Why it goes here</t>
        </is>
      </c>
    </row>
    <row r="5" ht="90" customHeight="1" s="33">
      <c r="A5" s="67" t="inlineStr">
        <is>
          <t>Nuphy.com cart</t>
        </is>
      </c>
      <c r="B5" s="68" t="inlineStr">
        <is>
          <t>1 — TODAY</t>
        </is>
      </c>
      <c r="C5" s="69" t="inlineStr">
        <is>
          <t>Nuphy Air75 V3 + Blush Nano switches + 8 spare switches</t>
        </is>
      </c>
      <c r="D5" s="69" t="inlineStr">
        <is>
          <t>Separate vendor from Amazon. Order in parallel. MUST select Blush Nano LINEAR switches at checkout.</t>
        </is>
      </c>
    </row>
    <row r="6" ht="90" customHeight="1" s="33">
      <c r="A6" s="67" t="inlineStr">
        <is>
          <t>Amazon cart A — long-lead</t>
        </is>
      </c>
      <c r="B6" s="68" t="inlineStr">
        <is>
          <t>1 — TODAY</t>
        </is>
      </c>
      <c r="C6" s="69" t="inlineStr">
        <is>
          <t>90× JF-0420B solenoids</t>
        </is>
      </c>
      <c r="D6" s="69" t="inlineStr">
        <is>
          <t>Even on Amazon this can ship slowest. Order first so you're not blocked Wk 2–3.</t>
        </is>
      </c>
    </row>
    <row r="7" ht="90" customHeight="1" s="33">
      <c r="A7" s="67" t="inlineStr">
        <is>
          <t>Amazon cart B — electronics + tools</t>
        </is>
      </c>
      <c r="B7" s="68" t="inlineStr">
        <is>
          <t>2 — TODAY</t>
        </is>
      </c>
      <c r="C7" s="69" t="inlineStr">
        <is>
          <t>Arduino Mega + Uno, 74HC595 ×12, ULN2803A ×12, soldering kit, USB hub, breadboard + LEDs + resistors, jumper kit, perfboard, IC sockets, headers, caps, heat-shrink, both wire types (solid + stranded 22 AWG, silicone 18 AWG), 12V PSU, IEC cord, buck converters</t>
        </is>
      </c>
      <c r="D7" s="69" t="inlineStr">
        <is>
          <t>Everything needed for Weeks 2–5. Single cart. Amazon Prime gets it in days.</t>
        </is>
      </c>
    </row>
    <row r="8" ht="90" customHeight="1" s="33">
      <c r="A8" s="67" t="inlineStr">
        <is>
          <t>Amazon cart C — mechanical + vision-prep + docs</t>
        </is>
      </c>
      <c r="B8" s="68" t="inlineStr">
        <is>
          <t>3 — TODAY</t>
        </is>
      </c>
      <c r="C8" s="69" t="inlineStr">
        <is>
          <t>PLA filament 2kg, silicone tubing, M2 hardware, M5 standoffs, VHB tape, Sharpie+tape, safety glasses, calipers, wire strippers, silicone mat, hex keys, phone tripod, lavalier mic</t>
        </is>
      </c>
      <c r="D8" s="69" t="inlineStr">
        <is>
          <t>Weeks 3–6 mechanical work + documentation gear (PRD requires from Wk 1).</t>
        </is>
      </c>
    </row>
    <row r="9" ht="90" customHeight="1" s="33">
      <c r="A9" s="67" t="inlineStr">
        <is>
          <t>LATER — Wave 2 (Wk 6)</t>
        </is>
      </c>
      <c r="B9" s="68" t="inlineStr">
        <is>
          <t>DEFERRED</t>
        </is>
      </c>
      <c r="C9" s="69" t="inlineStr">
        <is>
          <t>2020 extrusion, NEMA 17 steppers, CNC Shield + A4988s, GT2 belts/pulleys, V-slot wheels, limit switches, SG90 servos, B100 mouse, mousepad, C920 webcam, articulating arm, polarizer, LED task lamp, plywood base, raceway, E-stop, relay, XT60s, zip ties/labels</t>
        </is>
      </c>
      <c r="D9" s="69" t="inlineStr">
        <is>
          <t>Walkthrough's plan: absorb learnings from Weeks 1–6 before committing to gantry/vision spend.</t>
        </is>
      </c>
    </row>
    <row r="10" ht="90" customHeight="1" s="33">
      <c r="A10" s="67" t="inlineStr">
        <is>
          <t>OPTIONAL — your call</t>
        </is>
      </c>
      <c r="B10" s="68" t="inlineStr">
        <is>
          <t>Today or skip</t>
        </is>
      </c>
      <c r="C10" s="69" t="inlineStr">
        <is>
          <t>Helping-hands holder, matte screen film, 50A PSU upgrade, power strip, USB-A→C adapters</t>
        </is>
      </c>
      <c r="D10" s="69" t="inlineStr">
        <is>
          <t>Nice-to-haves. Helping-hands strongly recommended before the Wk 5 solder marathon.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32" min="1" max="1"/>
    <col width="26" customWidth="1" style="32" min="2" max="2"/>
    <col width="16" customWidth="1" style="32" min="3" max="3"/>
    <col width="65" customWidth="1" style="32" min="4" max="4"/>
  </cols>
  <sheetData>
    <row r="1" ht="17.35" customHeight="1" s="33">
      <c r="A1" s="65" t="inlineStr">
        <is>
          <t>Coverage audit — every line in the walkthrough + PRD mapped to a row in Master Order</t>
        </is>
      </c>
    </row>
    <row r="3" ht="27.75" customHeight="1" s="33">
      <c r="A3" s="66" t="inlineStr">
        <is>
          <t>Source line / requirement</t>
        </is>
      </c>
      <c r="B3" s="66" t="inlineStr">
        <is>
          <t>Doc reference</t>
        </is>
      </c>
      <c r="C3" s="66" t="inlineStr">
        <is>
          <t>Covered?</t>
        </is>
      </c>
      <c r="D3" s="66" t="inlineStr">
        <is>
          <t>Notes</t>
        </is>
      </c>
    </row>
    <row r="4" ht="31.5" customHeight="1" s="33">
      <c r="A4" s="40" t="inlineStr">
        <is>
          <t>84 JF-0420B solenoids (ordered 90)</t>
        </is>
      </c>
      <c r="B4" s="40" t="inlineStr">
        <is>
          <t>Walkthrough §2.1</t>
        </is>
      </c>
      <c r="C4" s="70" t="inlineStr">
        <is>
          <t>Yes</t>
        </is>
      </c>
      <c r="D4" s="40" t="inlineStr">
        <is>
          <t>Sourced from Amazon (fast) per your call. +$120 vs AliExpress.</t>
        </is>
      </c>
    </row>
    <row r="5" ht="31.5" customHeight="1" s="33">
      <c r="A5" s="40" t="inlineStr">
        <is>
          <t>74HC595 ×12</t>
        </is>
      </c>
      <c r="B5" s="40" t="inlineStr">
        <is>
          <t>Walkthrough §2.1</t>
        </is>
      </c>
      <c r="C5" s="70" t="inlineStr">
        <is>
          <t>Yes</t>
        </is>
      </c>
      <c r="D5" s="40" t="n"/>
    </row>
    <row r="6" ht="31.5" customHeight="1" s="33">
      <c r="A6" s="40" t="inlineStr">
        <is>
          <t>ULN2803A ×12</t>
        </is>
      </c>
      <c r="B6" s="40" t="inlineStr">
        <is>
          <t>Walkthrough §2.1</t>
        </is>
      </c>
      <c r="C6" s="70" t="inlineStr">
        <is>
          <t>Yes</t>
        </is>
      </c>
      <c r="D6" s="40" t="n"/>
    </row>
    <row r="7" ht="31.5" customHeight="1" s="33">
      <c r="A7" s="40" t="inlineStr">
        <is>
          <t>Arduino Mega 2560</t>
        </is>
      </c>
      <c r="B7" s="40" t="inlineStr">
        <is>
          <t>Walkthrough §2.1</t>
        </is>
      </c>
      <c r="C7" s="70" t="inlineStr">
        <is>
          <t>Yes</t>
        </is>
      </c>
      <c r="D7" s="40" t="n"/>
    </row>
    <row r="8" ht="31.5" customHeight="1" s="33">
      <c r="A8" s="40" t="inlineStr">
        <is>
          <t>Arduino Uno</t>
        </is>
      </c>
      <c r="B8" s="40" t="inlineStr">
        <is>
          <t>Walkthrough §2.1</t>
        </is>
      </c>
      <c r="C8" s="70" t="inlineStr">
        <is>
          <t>Yes</t>
        </is>
      </c>
      <c r="D8" s="40" t="inlineStr">
        <is>
          <t>Used in Wave 2 (gantry) but ordered now to consolidate shipments.</t>
        </is>
      </c>
    </row>
    <row r="9" ht="31.5" customHeight="1" s="33">
      <c r="A9" s="40" t="inlineStr">
        <is>
          <t>Soldering kit</t>
        </is>
      </c>
      <c r="B9" s="40" t="inlineStr">
        <is>
          <t>Walkthrough §2.1</t>
        </is>
      </c>
      <c r="C9" s="70" t="inlineStr">
        <is>
          <t>Yes</t>
        </is>
      </c>
      <c r="D9" s="40" t="inlineStr">
        <is>
          <t>Mark 'Already own' if you have temp-controlled iron + multimeter.</t>
        </is>
      </c>
    </row>
    <row r="10" ht="31.5" customHeight="1" s="33">
      <c r="A10" s="40" t="inlineStr">
        <is>
          <t>Nuphy Air75 V3 + Blush Nano</t>
        </is>
      </c>
      <c r="B10" s="40" t="inlineStr">
        <is>
          <t>Walkthrough §2.1</t>
        </is>
      </c>
      <c r="C10" s="70" t="inlineStr">
        <is>
          <t>Yes</t>
        </is>
      </c>
      <c r="D10" s="40" t="n"/>
    </row>
    <row r="11" ht="31.5" customHeight="1" s="33">
      <c r="A11" s="40" t="inlineStr">
        <is>
          <t>Spare Blush Nano switches ×8</t>
        </is>
      </c>
      <c r="B11" s="40" t="inlineStr">
        <is>
          <t>Walkthrough §2.1</t>
        </is>
      </c>
      <c r="C11" s="70" t="inlineStr">
        <is>
          <t>Yes</t>
        </is>
      </c>
      <c r="D11" s="40" t="n"/>
    </row>
    <row r="12" ht="31.5" customHeight="1" s="33">
      <c r="A12" s="40" t="inlineStr">
        <is>
          <t>12V 40A PSU</t>
        </is>
      </c>
      <c r="B12" s="40" t="inlineStr">
        <is>
          <t>Walkthrough §2.1</t>
        </is>
      </c>
      <c r="C12" s="70" t="inlineStr">
        <is>
          <t>Yes</t>
        </is>
      </c>
      <c r="D12" s="40" t="n"/>
    </row>
    <row r="13" ht="31.5" customHeight="1" s="33">
      <c r="A13" s="40" t="inlineStr">
        <is>
          <t>LM2596 buck converters ×2</t>
        </is>
      </c>
      <c r="B13" s="40" t="inlineStr">
        <is>
          <t>Walkthrough §2.1</t>
        </is>
      </c>
      <c r="C13" s="70" t="inlineStr">
        <is>
          <t>Yes</t>
        </is>
      </c>
      <c r="D13" s="40" t="n"/>
    </row>
    <row r="14" ht="31.5" customHeight="1" s="33">
      <c r="A14" s="40" t="inlineStr">
        <is>
          <t>Perfboard ×3</t>
        </is>
      </c>
      <c r="B14" s="40" t="inlineStr">
        <is>
          <t>Walkthrough §2.1</t>
        </is>
      </c>
      <c r="C14" s="70" t="inlineStr">
        <is>
          <t>Yes</t>
        </is>
      </c>
      <c r="D14" s="40" t="n"/>
    </row>
    <row r="15" ht="31.5" customHeight="1" s="33">
      <c r="A15" s="40" t="inlineStr">
        <is>
          <t>22 AWG solid-core hookup wire</t>
        </is>
      </c>
      <c r="B15" s="40" t="inlineStr">
        <is>
          <t>Walkthrough §2.1</t>
        </is>
      </c>
      <c r="C15" s="70" t="inlineStr">
        <is>
          <t>Yes</t>
        </is>
      </c>
      <c r="D15" s="40" t="n"/>
    </row>
    <row r="16" ht="31.5" customHeight="1" s="33">
      <c r="A16" s="40" t="inlineStr">
        <is>
          <t>18 AWG silicone wire</t>
        </is>
      </c>
      <c r="B16" s="40" t="inlineStr">
        <is>
          <t>Walkthrough §2.1</t>
        </is>
      </c>
      <c r="C16" s="70" t="inlineStr">
        <is>
          <t>Yes</t>
        </is>
      </c>
      <c r="D16" s="40" t="n"/>
    </row>
    <row r="17" ht="31.5" customHeight="1" s="33">
      <c r="A17" s="40" t="inlineStr">
        <is>
          <t>IC sockets DIP-16 + DIP-18</t>
        </is>
      </c>
      <c r="B17" s="40" t="inlineStr">
        <is>
          <t>Walkthrough §2.1</t>
        </is>
      </c>
      <c r="C17" s="70" t="inlineStr">
        <is>
          <t>Yes</t>
        </is>
      </c>
      <c r="D17" s="40" t="n"/>
    </row>
    <row r="18" ht="31.5" customHeight="1" s="33">
      <c r="A18" s="40" t="inlineStr">
        <is>
          <t>Pin headers</t>
        </is>
      </c>
      <c r="B18" s="40" t="inlineStr">
        <is>
          <t>Walkthrough §2.1</t>
        </is>
      </c>
      <c r="C18" s="70" t="inlineStr">
        <is>
          <t>Yes</t>
        </is>
      </c>
      <c r="D18" s="40" t="n"/>
    </row>
    <row r="19" ht="31.5" customHeight="1" s="33">
      <c r="A19" s="40" t="inlineStr">
        <is>
          <t>Dupont jumpers</t>
        </is>
      </c>
      <c r="B19" s="40" t="inlineStr">
        <is>
          <t>Walkthrough §2.1</t>
        </is>
      </c>
      <c r="C19" s="70" t="inlineStr">
        <is>
          <t>Yes</t>
        </is>
      </c>
      <c r="D19" s="40" t="n"/>
    </row>
    <row r="20" ht="31.5" customHeight="1" s="33">
      <c r="A20" s="40" t="inlineStr">
        <is>
          <t>Capacitors (4700µF + 0.1µF)</t>
        </is>
      </c>
      <c r="B20" s="40" t="inlineStr">
        <is>
          <t>Walkthrough §2.1</t>
        </is>
      </c>
      <c r="C20" s="70" t="inlineStr">
        <is>
          <t>Yes</t>
        </is>
      </c>
      <c r="D20" s="40" t="n"/>
    </row>
    <row r="21" ht="31.5" customHeight="1" s="33">
      <c r="A21" s="40" t="inlineStr">
        <is>
          <t>Heat-shrink</t>
        </is>
      </c>
      <c r="B21" s="40" t="inlineStr">
        <is>
          <t>Walkthrough §2.1</t>
        </is>
      </c>
      <c r="C21" s="70" t="inlineStr">
        <is>
          <t>Yes</t>
        </is>
      </c>
      <c r="D21" s="40" t="n"/>
    </row>
    <row r="22" ht="31.5" customHeight="1" s="33">
      <c r="A22" s="40" t="inlineStr">
        <is>
          <t>Silicone tubing 5mm ID</t>
        </is>
      </c>
      <c r="B22" s="40" t="inlineStr">
        <is>
          <t>Walkthrough §2.1</t>
        </is>
      </c>
      <c r="C22" s="70" t="inlineStr">
        <is>
          <t>Yes</t>
        </is>
      </c>
      <c r="D22" s="40" t="n"/>
    </row>
    <row r="23" ht="31.5" customHeight="1" s="33">
      <c r="A23" s="40" t="inlineStr">
        <is>
          <t>PLA filament</t>
        </is>
      </c>
      <c r="B23" s="40" t="inlineStr">
        <is>
          <t>Walkthrough §2.1</t>
        </is>
      </c>
      <c r="C23" s="70" t="inlineStr">
        <is>
          <t>Yes</t>
        </is>
      </c>
      <c r="D23" s="40" t="inlineStr">
        <is>
          <t>Bumped to 2kg for buffer.</t>
        </is>
      </c>
    </row>
    <row r="24" ht="31.5" customHeight="1" s="33">
      <c r="A24" s="40" t="inlineStr">
        <is>
          <t>M2 screws/nuts</t>
        </is>
      </c>
      <c r="B24" s="40" t="inlineStr">
        <is>
          <t>Walkthrough §2.1</t>
        </is>
      </c>
      <c r="C24" s="70" t="inlineStr">
        <is>
          <t>Yes</t>
        </is>
      </c>
      <c r="D24" s="40" t="n"/>
    </row>
    <row r="25" ht="31.5" customHeight="1" s="33">
      <c r="A25" s="40" t="inlineStr">
        <is>
          <t>M5 standoffs</t>
        </is>
      </c>
      <c r="B25" s="40" t="inlineStr">
        <is>
          <t>Walkthrough §2.1</t>
        </is>
      </c>
      <c r="C25" s="70" t="inlineStr">
        <is>
          <t>Yes</t>
        </is>
      </c>
      <c r="D25" s="40" t="n"/>
    </row>
    <row r="26" ht="31.5" customHeight="1" s="33">
      <c r="A26" s="40" t="inlineStr">
        <is>
          <t>Phone tripod</t>
        </is>
      </c>
      <c r="B26" s="40" t="inlineStr">
        <is>
          <t>Walkthrough §2.1</t>
        </is>
      </c>
      <c r="C26" s="70" t="inlineStr">
        <is>
          <t>Yes</t>
        </is>
      </c>
      <c r="D26" s="40" t="n"/>
    </row>
    <row r="27" ht="31.5" customHeight="1" s="33">
      <c r="A27" s="40" t="inlineStr">
        <is>
          <t>Lavalier mic</t>
        </is>
      </c>
      <c r="B27" s="40" t="inlineStr">
        <is>
          <t>Walkthrough §2.1</t>
        </is>
      </c>
      <c r="C27" s="70" t="inlineStr">
        <is>
          <t>Yes</t>
        </is>
      </c>
      <c r="D27" s="40" t="n"/>
    </row>
    <row r="28" ht="31.5" customHeight="1" s="33">
      <c r="A28" s="40" t="inlineStr">
        <is>
          <t>2020 V-slot extrusion 4m</t>
        </is>
      </c>
      <c r="B28" s="40" t="inlineStr">
        <is>
          <t>Walkthrough §2.2</t>
        </is>
      </c>
      <c r="C28" s="49" t="inlineStr">
        <is>
          <t>Yes (Wave 2)</t>
        </is>
      </c>
      <c r="D28" s="40" t="n"/>
    </row>
    <row r="29" ht="31.5" customHeight="1" s="33">
      <c r="A29" s="40" t="inlineStr">
        <is>
          <t>Corner brackets + T-nuts</t>
        </is>
      </c>
      <c r="B29" s="40" t="inlineStr">
        <is>
          <t>Walkthrough §2.2</t>
        </is>
      </c>
      <c r="C29" s="49" t="inlineStr">
        <is>
          <t>Yes (Wave 2)</t>
        </is>
      </c>
      <c r="D29" s="40" t="n"/>
    </row>
    <row r="30" ht="31.5" customHeight="1" s="33">
      <c r="A30" s="40" t="inlineStr">
        <is>
          <t>NEMA 17 steppers ×2</t>
        </is>
      </c>
      <c r="B30" s="40" t="inlineStr">
        <is>
          <t>Walkthrough §2.2</t>
        </is>
      </c>
      <c r="C30" s="49" t="inlineStr">
        <is>
          <t>Yes (Wave 2)</t>
        </is>
      </c>
      <c r="D30" s="40" t="n"/>
    </row>
    <row r="31" ht="31.5" customHeight="1" s="33">
      <c r="A31" s="40" t="inlineStr">
        <is>
          <t>CNC Shield + A4988 ×2</t>
        </is>
      </c>
      <c r="B31" s="40" t="inlineStr">
        <is>
          <t>Walkthrough §2.2</t>
        </is>
      </c>
      <c r="C31" s="49" t="inlineStr">
        <is>
          <t>Yes (Wave 2)</t>
        </is>
      </c>
      <c r="D31" s="40" t="n"/>
    </row>
    <row r="32" ht="31.5" customHeight="1" s="33">
      <c r="A32" s="40" t="inlineStr">
        <is>
          <t>GT2 belt + pulleys</t>
        </is>
      </c>
      <c r="B32" s="40" t="inlineStr">
        <is>
          <t>Walkthrough §2.2</t>
        </is>
      </c>
      <c r="C32" s="49" t="inlineStr">
        <is>
          <t>Yes (Wave 2)</t>
        </is>
      </c>
      <c r="D32" s="40" t="n"/>
    </row>
    <row r="33" ht="31.5" customHeight="1" s="33">
      <c r="A33" s="40" t="inlineStr">
        <is>
          <t>V-slot wheels + bearings</t>
        </is>
      </c>
      <c r="B33" s="40" t="inlineStr">
        <is>
          <t>Walkthrough §2.2</t>
        </is>
      </c>
      <c r="C33" s="49" t="inlineStr">
        <is>
          <t>Yes (Wave 2)</t>
        </is>
      </c>
      <c r="D33" s="40" t="n"/>
    </row>
    <row r="34" ht="31.5" customHeight="1" s="33">
      <c r="A34" s="40" t="inlineStr">
        <is>
          <t>Limit switches ×4</t>
        </is>
      </c>
      <c r="B34" s="40" t="inlineStr">
        <is>
          <t>Walkthrough §2.2</t>
        </is>
      </c>
      <c r="C34" s="49" t="inlineStr">
        <is>
          <t>Yes (Wave 2)</t>
        </is>
      </c>
      <c r="D34" s="40" t="n"/>
    </row>
    <row r="35" ht="31.5" customHeight="1" s="33">
      <c r="A35" s="40" t="inlineStr">
        <is>
          <t>SG90 servos ×2</t>
        </is>
      </c>
      <c r="B35" s="40" t="inlineStr">
        <is>
          <t>Walkthrough §2.2</t>
        </is>
      </c>
      <c r="C35" s="49" t="inlineStr">
        <is>
          <t>Yes (Wave 2)</t>
        </is>
      </c>
      <c r="D35" s="40" t="n"/>
    </row>
    <row r="36" ht="31.5" customHeight="1" s="33">
      <c r="A36" s="40" t="inlineStr">
        <is>
          <t>Logitech B100 mouse</t>
        </is>
      </c>
      <c r="B36" s="40" t="inlineStr">
        <is>
          <t>Walkthrough §2.2</t>
        </is>
      </c>
      <c r="C36" s="49" t="inlineStr">
        <is>
          <t>Yes (Wave 2)</t>
        </is>
      </c>
      <c r="D36" s="40" t="n"/>
    </row>
    <row r="37" ht="31.5" customHeight="1" s="33">
      <c r="A37" s="40" t="inlineStr">
        <is>
          <t>Mousepad</t>
        </is>
      </c>
      <c r="B37" s="40" t="inlineStr">
        <is>
          <t>Walkthrough §2.2</t>
        </is>
      </c>
      <c r="C37" s="49" t="inlineStr">
        <is>
          <t>Yes (Wave 2)</t>
        </is>
      </c>
      <c r="D37" s="40" t="n"/>
    </row>
    <row r="38" ht="31.5" customHeight="1" s="33">
      <c r="A38" s="40" t="inlineStr">
        <is>
          <t>Logitech C920 webcam</t>
        </is>
      </c>
      <c r="B38" s="40" t="inlineStr">
        <is>
          <t>Walkthrough §2.2</t>
        </is>
      </c>
      <c r="C38" s="49" t="inlineStr">
        <is>
          <t>Yes (Wave 2)</t>
        </is>
      </c>
      <c r="D38" s="40" t="n"/>
    </row>
    <row r="39" ht="31.5" customHeight="1" s="33">
      <c r="A39" s="40" t="inlineStr">
        <is>
          <t>Articulating webcam arm</t>
        </is>
      </c>
      <c r="B39" s="40" t="inlineStr">
        <is>
          <t>Walkthrough §2.2</t>
        </is>
      </c>
      <c r="C39" s="49" t="inlineStr">
        <is>
          <t>Yes (Wave 2)</t>
        </is>
      </c>
      <c r="D39" s="40" t="n"/>
    </row>
    <row r="40" ht="31.5" customHeight="1" s="33">
      <c r="A40" s="40" t="inlineStr">
        <is>
          <t>Circular polarizer</t>
        </is>
      </c>
      <c r="B40" s="40" t="inlineStr">
        <is>
          <t>Walkthrough §2.2</t>
        </is>
      </c>
      <c r="C40" s="49" t="inlineStr">
        <is>
          <t>Yes (Wave 2)</t>
        </is>
      </c>
      <c r="D40" s="40" t="n"/>
    </row>
    <row r="41" ht="31.5" customHeight="1" s="33">
      <c r="A41" s="40" t="inlineStr">
        <is>
          <t>Plywood/HDPE base 600×450</t>
        </is>
      </c>
      <c r="B41" s="40" t="inlineStr">
        <is>
          <t>Walkthrough §2.2</t>
        </is>
      </c>
      <c r="C41" s="49" t="inlineStr">
        <is>
          <t>Yes (Wave 2)</t>
        </is>
      </c>
      <c r="D41" s="40" t="n"/>
    </row>
    <row r="42" ht="31.5" customHeight="1" s="33">
      <c r="A42" s="40" t="inlineStr">
        <is>
          <t>Cable raceway</t>
        </is>
      </c>
      <c r="B42" s="40" t="inlineStr">
        <is>
          <t>Walkthrough §2.2</t>
        </is>
      </c>
      <c r="C42" s="49" t="inlineStr">
        <is>
          <t>Yes (Wave 2)</t>
        </is>
      </c>
      <c r="D42" s="40" t="n"/>
    </row>
    <row r="43" ht="31.5" customHeight="1" s="33">
      <c r="A43" s="40" t="inlineStr">
        <is>
          <t>E-stop pushbutton</t>
        </is>
      </c>
      <c r="B43" s="40" t="inlineStr">
        <is>
          <t>Walkthrough §2.2</t>
        </is>
      </c>
      <c r="C43" s="49" t="inlineStr">
        <is>
          <t>Yes (Wave 2)</t>
        </is>
      </c>
      <c r="D43" s="40" t="n"/>
    </row>
    <row r="44" ht="31.5" customHeight="1" s="33">
      <c r="A44" s="40" t="inlineStr">
        <is>
          <t>DC relay 40A</t>
        </is>
      </c>
      <c r="B44" s="40" t="inlineStr">
        <is>
          <t>Walkthrough §2.2</t>
        </is>
      </c>
      <c r="C44" s="49" t="inlineStr">
        <is>
          <t>Yes (Wave 2)</t>
        </is>
      </c>
      <c r="D44" s="40" t="n"/>
    </row>
    <row r="45" ht="31.5" customHeight="1" s="33">
      <c r="A45" s="40" t="inlineStr">
        <is>
          <t>XT60 / screw terminals</t>
        </is>
      </c>
      <c r="B45" s="40" t="inlineStr">
        <is>
          <t>Walkthrough §2.2</t>
        </is>
      </c>
      <c r="C45" s="49" t="inlineStr">
        <is>
          <t>Yes (Wave 2)</t>
        </is>
      </c>
      <c r="D45" s="40" t="n"/>
    </row>
    <row r="46" ht="31.5" customHeight="1" s="33">
      <c r="A46" s="40" t="inlineStr">
        <is>
          <t>Zip ties + labels + tape</t>
        </is>
      </c>
      <c r="B46" s="40" t="inlineStr">
        <is>
          <t>Walkthrough §2.2</t>
        </is>
      </c>
      <c r="C46" s="49" t="inlineStr">
        <is>
          <t>Yes (Wave 2)</t>
        </is>
      </c>
      <c r="D46" s="40" t="n"/>
    </row>
    <row r="47" ht="31.5" customHeight="1" s="33">
      <c r="A47" s="40" t="inlineStr">
        <is>
          <t>Breadboard for Wk 2 prototype</t>
        </is>
      </c>
      <c r="B47" s="40" t="inlineStr">
        <is>
          <t>Walkthrough §3 Wk 2</t>
        </is>
      </c>
      <c r="C47" s="43" t="inlineStr">
        <is>
          <t>Added (GAP)</t>
        </is>
      </c>
      <c r="D47" s="40" t="inlineStr">
        <is>
          <t>Step 1: "Wire one 74HC595 to the Arduino Mega on a breadboard."</t>
        </is>
      </c>
    </row>
    <row r="48" ht="31.5" customHeight="1" s="33">
      <c r="A48" s="40" t="inlineStr">
        <is>
          <t>LEDs for Wk 2 walk-test</t>
        </is>
      </c>
      <c r="B48" s="40" t="inlineStr">
        <is>
          <t>Walkthrough §3 Wk 2</t>
        </is>
      </c>
      <c r="C48" s="43" t="inlineStr">
        <is>
          <t>Added (GAP)</t>
        </is>
      </c>
      <c r="D48" s="40" t="inlineStr">
        <is>
          <t>Step 1: "LED-test sketch that walks lights down the 8 outputs."</t>
        </is>
      </c>
    </row>
    <row r="49" ht="31.5" customHeight="1" s="33">
      <c r="A49" s="40" t="inlineStr">
        <is>
          <t>Current-limiting resistors</t>
        </is>
      </c>
      <c r="B49" s="40" t="inlineStr">
        <is>
          <t>Walkthrough §3 Wk 2</t>
        </is>
      </c>
      <c r="C49" s="43" t="inlineStr">
        <is>
          <t>Added (GAP)</t>
        </is>
      </c>
      <c r="D49" s="40" t="inlineStr">
        <is>
          <t>Required to use the LEDs safely.</t>
        </is>
      </c>
    </row>
    <row r="50" ht="31.5" customHeight="1" s="33">
      <c r="A50" s="40" t="inlineStr">
        <is>
          <t>22 AWG STRANDED wire</t>
        </is>
      </c>
      <c r="B50" s="40" t="inlineStr">
        <is>
          <t>Walkthrough §3 Wk 6</t>
        </is>
      </c>
      <c r="C50" s="43" t="inlineStr">
        <is>
          <t>Added (GAP)</t>
        </is>
      </c>
      <c r="D50" s="40" t="inlineStr">
        <is>
          <t>Step 3: "Use 22 AWG stranded wire" — list only has solid-core.</t>
        </is>
      </c>
    </row>
    <row r="51" ht="31.5" customHeight="1" s="33">
      <c r="A51" s="40" t="inlineStr">
        <is>
          <t>Wire labels (Sharpie + tape)</t>
        </is>
      </c>
      <c r="B51" s="40" t="inlineStr">
        <is>
          <t>Walkthrough §3 Wk 6 + Pitfalls</t>
        </is>
      </c>
      <c r="C51" s="43" t="inlineStr">
        <is>
          <t>Added (GAP)</t>
        </is>
      </c>
      <c r="D51" s="40" t="inlineStr">
        <is>
          <t>Label-maker tape is in Wave 2 but needed before Wave 2 arrives.</t>
        </is>
      </c>
    </row>
    <row r="52" ht="31.5" customHeight="1" s="33">
      <c r="A52" s="40" t="inlineStr">
        <is>
          <t>VHB tape for keyboard mounting</t>
        </is>
      </c>
      <c r="B52" s="40" t="inlineStr">
        <is>
          <t>PRD §4.2.1</t>
        </is>
      </c>
      <c r="C52" s="43" t="inlineStr">
        <is>
          <t>Added (GAP)</t>
        </is>
      </c>
      <c r="D52" s="40" t="inlineStr">
        <is>
          <t>"The keyboard is fixed to the workbench with double-sided VHB tape."</t>
        </is>
      </c>
    </row>
    <row r="53" ht="31.5" customHeight="1" s="33">
      <c r="A53" s="40" t="inlineStr">
        <is>
          <t>LED task lamp ≥300 lux diffuse</t>
        </is>
      </c>
      <c r="B53" s="40" t="inlineStr">
        <is>
          <t>PRD §4.4</t>
        </is>
      </c>
      <c r="C53" s="43" t="inlineStr">
        <is>
          <t>Added (GAP)</t>
        </is>
      </c>
      <c r="D53" s="40" t="inlineStr">
        <is>
          <t>"One indirect, diffuse LED task lamp providing ≥300 lux at the screen surface."</t>
        </is>
      </c>
    </row>
    <row r="54" ht="31.5" customHeight="1" s="33">
      <c r="A54" s="40" t="inlineStr">
        <is>
          <t>USB hub (M4 MacBook is USB-C)</t>
        </is>
      </c>
      <c r="B54" s="40" t="inlineStr">
        <is>
          <t>Inferred from §4.4 + §4.3.3</t>
        </is>
      </c>
      <c r="C54" s="43" t="inlineStr">
        <is>
          <t>Added (GAP)</t>
        </is>
      </c>
      <c r="D54" s="40" t="inlineStr">
        <is>
          <t>Final rig needs 4 USB-A devices: 2 Arduinos + webcam + sacrifice mouse.</t>
        </is>
      </c>
    </row>
    <row r="55" ht="31.5" customHeight="1" s="33">
      <c r="A55" s="40" t="inlineStr">
        <is>
          <t>PSU mains cord (IEC C13)</t>
        </is>
      </c>
      <c r="B55" s="40" t="inlineStr">
        <is>
          <t>Inferred</t>
        </is>
      </c>
      <c r="C55" s="43" t="inlineStr">
        <is>
          <t>Added (GAP)</t>
        </is>
      </c>
      <c r="D55" s="40" t="inlineStr">
        <is>
          <t>Bare S-480-12 PSUs ship without mains cord.</t>
        </is>
      </c>
    </row>
    <row r="56" ht="31.5" customHeight="1" s="33">
      <c r="A56" s="40" t="inlineStr">
        <is>
          <t>Hex key set M3/M4/M5</t>
        </is>
      </c>
      <c r="B56" s="40" t="inlineStr">
        <is>
          <t>Walkthrough §1.1</t>
        </is>
      </c>
      <c r="C56" s="46" t="inlineStr">
        <is>
          <t>Added (TOOL)</t>
        </is>
      </c>
      <c r="D56" s="40" t="inlineStr">
        <is>
          <t>Listed as 'tools you must own'. Mark 'Already own' if applicable.</t>
        </is>
      </c>
    </row>
    <row r="57" ht="31.5" customHeight="1" s="33">
      <c r="A57" s="40" t="inlineStr">
        <is>
          <t>Digital calipers 150mm</t>
        </is>
      </c>
      <c r="B57" s="40" t="inlineStr">
        <is>
          <t>Walkthrough §1.1</t>
        </is>
      </c>
      <c r="C57" s="46" t="inlineStr">
        <is>
          <t>Added (TOOL)</t>
        </is>
      </c>
      <c r="D57" s="40" t="inlineStr">
        <is>
          <t>Required for CAD measuring.</t>
        </is>
      </c>
    </row>
    <row r="58" ht="31.5" customHeight="1" s="33">
      <c r="A58" s="40" t="inlineStr">
        <is>
          <t>Safety glasses</t>
        </is>
      </c>
      <c r="B58" s="40" t="inlineStr">
        <is>
          <t>Walkthrough §1.1</t>
        </is>
      </c>
      <c r="C58" s="46" t="inlineStr">
        <is>
          <t>Added (TOOL)</t>
        </is>
      </c>
      <c r="D58" s="40" t="inlineStr">
        <is>
          <t>Mandatory while soldering.</t>
        </is>
      </c>
    </row>
    <row r="59" ht="31.5" customHeight="1" s="33">
      <c r="A59" s="40" t="inlineStr">
        <is>
          <t>Wire strippers</t>
        </is>
      </c>
      <c r="B59" s="40" t="inlineStr">
        <is>
          <t>Walkthrough §1.1</t>
        </is>
      </c>
      <c r="C59" s="46" t="inlineStr">
        <is>
          <t>Added (TOOL)</t>
        </is>
      </c>
      <c r="D59" s="40" t="inlineStr">
        <is>
          <t>Auto-adjusting strongly recommended.</t>
        </is>
      </c>
    </row>
    <row r="60" ht="31.5" customHeight="1" s="33">
      <c r="A60" s="40" t="inlineStr">
        <is>
          <t>Heat-resistant work mat</t>
        </is>
      </c>
      <c r="B60" s="40" t="inlineStr">
        <is>
          <t>Walkthrough §1.1</t>
        </is>
      </c>
      <c r="C60" s="46" t="inlineStr">
        <is>
          <t>Added (TOOL)</t>
        </is>
      </c>
      <c r="D60" s="40" t="n"/>
    </row>
    <row r="61" ht="31.5" customHeight="1" s="33">
      <c r="A61" s="40" t="inlineStr">
        <is>
          <t>Helping-hands / PCB holder</t>
        </is>
      </c>
      <c r="B61" s="40" t="inlineStr">
        <is>
          <t>Implied for Wk 5</t>
        </is>
      </c>
      <c r="C61" s="46" t="inlineStr">
        <is>
          <t>Added (OPT)</t>
        </is>
      </c>
      <c r="D61" s="40" t="inlineStr">
        <is>
          <t>Recommended for the 260-joint solder session.</t>
        </is>
      </c>
    </row>
    <row r="62" ht="31.5" customHeight="1" s="33">
      <c r="A62" s="40" t="inlineStr">
        <is>
          <t>Matte anti-glare film</t>
        </is>
      </c>
      <c r="B62" s="40" t="inlineStr">
        <is>
          <t>PRD §4.4</t>
        </is>
      </c>
      <c r="C62" s="46" t="inlineStr">
        <is>
          <t>Added (OPT)</t>
        </is>
      </c>
      <c r="D62" s="40" t="inlineStr">
        <is>
          <t>PRD calls out as 'optional'.</t>
        </is>
      </c>
    </row>
    <row r="63" ht="31.5" customHeight="1" s="33">
      <c r="A63" s="40" t="inlineStr">
        <is>
          <t>50A PSU upgrade</t>
        </is>
      </c>
      <c r="B63" s="40" t="inlineStr">
        <is>
          <t>PRD §4.5.1</t>
        </is>
      </c>
      <c r="C63" s="46" t="inlineStr">
        <is>
          <t>Added (OPT)</t>
        </is>
      </c>
      <c r="D63" s="40" t="inlineStr">
        <is>
          <t>PRD: '+$20 for fault-mode margin'.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32" min="1" max="1"/>
    <col width="90" customWidth="1" style="32" min="2" max="2"/>
  </cols>
  <sheetData>
    <row r="1" ht="17.35" customHeight="1" s="33">
      <c r="A1" s="65" t="inlineStr">
        <is>
          <t>Color legend &amp; how to use this workbook</t>
        </is>
      </c>
    </row>
    <row r="3" ht="15" customHeight="1" s="33">
      <c r="A3" s="66" t="inlineStr">
        <is>
          <t>Color</t>
        </is>
      </c>
      <c r="B3" s="66" t="inlineStr">
        <is>
          <t>Meaning</t>
        </is>
      </c>
    </row>
    <row r="4" ht="15" customHeight="1" s="33">
      <c r="A4" s="71" t="inlineStr">
        <is>
          <t>Orange-tinted row</t>
        </is>
      </c>
      <c r="B4" s="71" t="inlineStr">
        <is>
          <t>GAP — item the walkthrough shopping list missed but build steps or PRD require. Audited and added by me.</t>
        </is>
      </c>
    </row>
    <row r="5" ht="23.85" customHeight="1" s="33">
      <c r="A5" s="71" t="inlineStr">
        <is>
          <t>Gray row</t>
        </is>
      </c>
      <c r="B5" s="71" t="inlineStr">
        <is>
          <t>Tool that's listed as 'must own' in walkthrough §1.1, OR an optional add-on. Mark 'Already own' or 'Skip' if not needed.</t>
        </is>
      </c>
    </row>
    <row r="6" ht="15" customHeight="1" s="33">
      <c r="A6" s="71" t="inlineStr">
        <is>
          <t>Light-gray row</t>
        </is>
      </c>
      <c r="B6" s="71" t="inlineStr">
        <is>
          <t>Wave 2 — deferred to week 6 per the walkthrough's recommendation.</t>
        </is>
      </c>
    </row>
    <row r="7" ht="15" customHeight="1" s="33">
      <c r="A7" s="71" t="inlineStr">
        <is>
          <t>Green status</t>
        </is>
      </c>
      <c r="B7" s="71" t="inlineStr">
        <is>
          <t>Verified — part is in hand and tested.</t>
        </is>
      </c>
    </row>
    <row r="8" ht="15" customHeight="1" s="33">
      <c r="A8" s="71" t="inlineStr">
        <is>
          <t>Blue status</t>
        </is>
      </c>
      <c r="B8" s="71" t="inlineStr">
        <is>
          <t>Arrived — physically here, not yet tested.</t>
        </is>
      </c>
    </row>
    <row r="9" ht="15" customHeight="1" s="33">
      <c r="A9" s="71" t="inlineStr">
        <is>
          <t>Yellow status</t>
        </is>
      </c>
      <c r="B9" s="71" t="inlineStr">
        <is>
          <t>Ordered — order placed, in transit.</t>
        </is>
      </c>
    </row>
    <row r="10" ht="15" customHeight="1" s="33">
      <c r="A10" s="71" t="inlineStr">
        <is>
          <t>Salmon status</t>
        </is>
      </c>
      <c r="B10" s="71" t="inlineStr">
        <is>
          <t>To order — not yet placed.</t>
        </is>
      </c>
    </row>
    <row r="11" ht="15" customHeight="1" s="33">
      <c r="A11" s="71" t="inlineStr">
        <is>
          <t>Dark gray status</t>
        </is>
      </c>
      <c r="B11" s="71" t="inlineStr">
        <is>
          <t>Skip — you've decided not to buy this item.</t>
        </is>
      </c>
    </row>
    <row r="12" ht="15" customHeight="1" s="33">
      <c r="A12" s="71" t="n"/>
      <c r="B12" s="71" t="n"/>
    </row>
    <row r="13" ht="15" customHeight="1" s="33">
      <c r="A13" s="71" t="inlineStr">
        <is>
          <t>Recommended workflow</t>
        </is>
      </c>
      <c r="B13" s="71" t="n"/>
    </row>
    <row r="14" ht="15" customHeight="1" s="33">
      <c r="A14" s="71" t="inlineStr">
        <is>
          <t>1.</t>
        </is>
      </c>
      <c r="B14" s="71" t="inlineStr">
        <is>
          <t>Open Order Sequence tab. Place the 4 carts described there today.</t>
        </is>
      </c>
    </row>
    <row r="15" ht="15" customHeight="1" s="33">
      <c r="A15" s="71" t="inlineStr">
        <is>
          <t>2.</t>
        </is>
      </c>
      <c r="B15" s="71" t="inlineStr">
        <is>
          <t>As you place each cart, set those items to 'Ordered' (yellow).</t>
        </is>
      </c>
    </row>
    <row r="16" ht="15" customHeight="1" s="33">
      <c r="A16" s="71" t="inlineStr">
        <is>
          <t>3.</t>
        </is>
      </c>
      <c r="B16" s="71" t="inlineStr">
        <is>
          <t>As boxes arrive over the next 1–2 weeks, flip to 'Arrived' (blue).</t>
        </is>
      </c>
    </row>
    <row r="17" ht="15" customHeight="1" s="33">
      <c r="A17" s="71" t="inlineStr">
        <is>
          <t>4.</t>
        </is>
      </c>
      <c r="B17" s="71" t="inlineStr">
        <is>
          <t>After bench-testing a part, flip to 'Verified' (green).</t>
        </is>
      </c>
    </row>
    <row r="18" ht="15" customHeight="1" s="33">
      <c r="A18" s="71" t="inlineStr">
        <is>
          <t>5.</t>
        </is>
      </c>
      <c r="B18" s="71" t="inlineStr">
        <is>
          <t>Audit Trail tab proves nothing from the PRD or walkthrough was missed.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30" customWidth="1" style="33" min="1" max="1"/>
  </cols>
  <sheetData>
    <row r="1" ht="18" customHeight="1" s="33">
      <c r="A1" s="72" t="inlineStr">
        <is>
          <t>PHYSICAL AI AGENT — BIG-SOLENOID BUILD NOTES</t>
        </is>
      </c>
    </row>
    <row r="2" ht="18" customHeight="1" s="33">
      <c r="A2" t="inlineStr">
        <is>
          <t>Decision: ordering 100× DC 12V 5N/10mm push-pull solenoids (30×16×15mm body, 6×58mm plunger, 300mA).</t>
        </is>
      </c>
    </row>
    <row r="3" ht="18" customHeight="1" s="33">
      <c r="A3" t="inlineStr">
        <is>
          <t>These notes capture the engineering risks this choice creates and the mitigations baked into the order.</t>
        </is>
      </c>
    </row>
    <row r="4" ht="18" customHeight="1" s="33">
      <c r="A4" t="inlineStr"/>
    </row>
    <row r="5" ht="18" customHeight="1" s="33">
      <c r="A5" s="73" t="inlineStr">
        <is>
          <t>RISK 1 — Latency budget (PRD §6.3, acceptance ≤100ms in 95% of trials)</t>
        </is>
      </c>
    </row>
    <row r="6" ht="18" customHeight="1" s="33">
      <c r="A6" t="inlineStr">
        <is>
          <t>Reference JF-0420B-class plunger: ~1g, ~3N peak. The 6×58mm steel plunger in the chosen solenoid is ~13g.</t>
        </is>
      </c>
    </row>
    <row r="7" ht="18" customHeight="1" s="33">
      <c r="A7" t="inlineStr">
        <is>
          <t>Travel-time estimate: at 5N peak force and 13g mass, acceleration ≈ 380 m/s². To traverse a ~5mm trimmed</t>
        </is>
      </c>
    </row>
    <row r="8" ht="18" customHeight="1" s="33">
      <c r="A8" t="inlineStr">
        <is>
          <t>stroke and clear the 1.4mm Blush Nano actuation distance, mechanical travel ≈ 5–6ms (vs ~2ms for 1g plunger).</t>
        </is>
      </c>
    </row>
    <row r="9" ht="18" customHeight="1" s="33">
      <c r="A9" t="inlineStr">
        <is>
          <t>Adds ~3–4ms to the 82ms PRD latency total → ~85–86ms estimated. Still inside the 100ms ceiling, but the</t>
        </is>
      </c>
    </row>
    <row r="10" ht="18" customHeight="1" s="33">
      <c r="A10" t="inlineStr">
        <is>
          <t>margin is now ~15ms instead of ~18ms. Any other slowdown (USB jitter, vision frame skip) eats into it fast.</t>
        </is>
      </c>
    </row>
    <row r="11" ht="18" customHeight="1" s="33">
      <c r="A11" t="inlineStr">
        <is>
          <t>MITIGATION: keep the rest of the pipeline tight. Profile actual key-down→signal-released latency on the</t>
        </is>
      </c>
    </row>
    <row r="12" ht="18" customHeight="1" s="33">
      <c r="A12" t="inlineStr">
        <is>
          <t>4-unit prototype kit BEFORE wiring all 84. If empirical mechanical latency &gt;8ms, consider stroke-limiting</t>
        </is>
      </c>
    </row>
    <row r="13" ht="18" customHeight="1" s="33">
      <c r="A13" t="inlineStr">
        <is>
          <t>the plate to ~3mm of effective travel or moving to a lighter aluminum plunger (machined replacement).</t>
        </is>
      </c>
    </row>
    <row r="14" ht="18" customHeight="1" s="33">
      <c r="A14" t="inlineStr"/>
    </row>
    <row r="15" ht="18" customHeight="1" s="33">
      <c r="A15" s="73" t="inlineStr">
        <is>
          <t>RISK 2 — Switch wear (PRD R-02b)</t>
        </is>
      </c>
    </row>
    <row r="16" ht="18" customHeight="1" s="33">
      <c r="A16" t="inlineStr">
        <is>
          <t>Steel plunger striking the Blush Nano stem at higher kinetic energy than design-reference. Damage modes:</t>
        </is>
      </c>
    </row>
    <row r="17" ht="18" customHeight="1" s="33">
      <c r="A17" t="inlineStr">
        <is>
          <t>cracked stem, deformed contact leaf, intermittent actuation. Hot-swap means repair is fast — but only if</t>
        </is>
      </c>
    </row>
    <row r="18" ht="18" customHeight="1" s="33">
      <c r="A18" t="inlineStr">
        <is>
          <t>you have spares.</t>
        </is>
      </c>
    </row>
    <row r="19" ht="18" customHeight="1" s="33">
      <c r="A19" t="inlineStr">
        <is>
          <t>MITIGATION: 5mm food-grade silicone tubing on every plunger tip (already in the parts list, row 38) +</t>
        </is>
      </c>
    </row>
    <row r="20" ht="18" customHeight="1" s="33">
      <c r="A20" t="inlineStr">
        <is>
          <t>30 spare Blush Nano switches (bumped from 8). Inspect first-row keys after the 1-hour endurance test.</t>
        </is>
      </c>
    </row>
    <row r="21" ht="18" customHeight="1" s="33">
      <c r="A21" t="inlineStr"/>
    </row>
    <row r="22" ht="18" customHeight="1" s="33">
      <c r="A22" s="73" t="inlineStr">
        <is>
          <t>RISK 3 — Build tolerance on 19mm key pitch</t>
        </is>
      </c>
    </row>
    <row r="23" ht="18" customHeight="1" s="33">
      <c r="A23" t="inlineStr">
        <is>
          <t>Solenoid bodies are 16×15mm; key pitch is 19.05mm. That leaves 1.5–2mm of wall between adjacent</t>
        </is>
      </c>
    </row>
    <row r="24" ht="18" customHeight="1" s="33">
      <c r="A24" t="inlineStr">
        <is>
          <t>solenoids in the matrix plate. Any FDM print warpage, solenoid OD variance, or plate skew will cause</t>
        </is>
      </c>
    </row>
    <row r="25" ht="18" customHeight="1" s="33">
      <c r="A25" t="inlineStr">
        <is>
          <t>binding. 3D printing tolerance on consumer FDM (Bambu/Prusa) is typically ±0.2mm per slot — feasible</t>
        </is>
      </c>
    </row>
    <row r="26" ht="18" customHeight="1" s="33">
      <c r="A26" t="inlineStr">
        <is>
          <t>but unforgiving.</t>
        </is>
      </c>
    </row>
    <row r="27" ht="18" customHeight="1" s="33">
      <c r="A27" t="inlineStr">
        <is>
          <t>MITIGATION: print one 4-cell test fixture FIRST with the prototype kit. Verify all 4 solenoids drop in</t>
        </is>
      </c>
    </row>
    <row r="28" ht="18" customHeight="1" s="33">
      <c r="A28" t="inlineStr">
        <is>
          <t>freely. Tune slot dimension before committing to the full 84-slot plate (which is a 12+ hour print).</t>
        </is>
      </c>
    </row>
    <row r="29" ht="18" customHeight="1" s="33">
      <c r="A29" t="inlineStr"/>
    </row>
    <row r="30" ht="18" customHeight="1" s="33">
      <c r="A30" s="73" t="inlineStr">
        <is>
          <t>RISK 4 — Unit-to-unit force variance (cheap bulk solenoids)</t>
        </is>
      </c>
    </row>
    <row r="31" ht="18" customHeight="1" s="33">
      <c r="A31" t="inlineStr">
        <is>
          <t>Expect ±20–25% force variance across a 100-unit batch from AliExpress/Alibaba. Some keys may under-actuate.</t>
        </is>
      </c>
    </row>
    <row r="32" ht="18" customHeight="1" s="33">
      <c r="A32" t="inlineStr">
        <is>
          <t>MITIGATION: bench-test each solenoid at 12V before mounting. Sort into 'strong / nominal / weak' piles.</t>
        </is>
      </c>
    </row>
    <row r="33" ht="18" customHeight="1" s="33">
      <c r="A33" t="inlineStr">
        <is>
          <t>Use the strong ones on the lower row (where the plunger has the longest reach over the keycap profile).</t>
        </is>
      </c>
    </row>
    <row r="34" ht="18" customHeight="1" s="33">
      <c r="A34" t="inlineStr">
        <is>
          <t>Discard any that fail to actuate a key reliably at the design-gap distance — extra reason to have spares.</t>
        </is>
      </c>
    </row>
    <row r="35" ht="18" customHeight="1" s="33">
      <c r="A35" t="inlineStr"/>
    </row>
    <row r="36" ht="18" customHeight="1" s="33">
      <c r="A36" s="73" t="inlineStr">
        <is>
          <t>RISK 5 — Thermal under endurance test (PRD §7)</t>
        </is>
      </c>
    </row>
    <row r="37" ht="18" customHeight="1" s="33">
      <c r="A37" t="inlineStr">
        <is>
          <t>Holding current 300mA × N keys-held-simultaneously. Realistic peak ~7 keys = 2.1A through the driver,</t>
        </is>
      </c>
    </row>
    <row r="38" ht="18" customHeight="1" s="33">
      <c r="A38" t="inlineStr">
        <is>
          <t>plus brief surges from key transitions. ULN2803 packages will heat up. 1-hour acceptance test = sustained.</t>
        </is>
      </c>
    </row>
    <row r="39" ht="18" customHeight="1" s="33">
      <c r="A39" t="inlineStr">
        <is>
          <t>MITIGATION: 80mm USB fan added to the parts list (row 88). Mount over the driver board.</t>
        </is>
      </c>
    </row>
    <row r="40" ht="18" customHeight="1" s="33">
      <c r="A40" t="inlineStr"/>
    </row>
    <row r="41" ht="18" customHeight="1" s="33">
      <c r="A41" s="73" t="inlineStr">
        <is>
          <t>RISK 6 — Repairability / spares</t>
        </is>
      </c>
    </row>
    <row r="42" ht="18" customHeight="1" s="33">
      <c r="A42" t="inlineStr">
        <is>
          <t>100-unit bulk order with 4–6 week lead time = no quick replacements mid-build.</t>
        </is>
      </c>
    </row>
    <row r="43" ht="18" customHeight="1" s="33">
      <c r="A43" t="inlineStr">
        <is>
          <t>MITIGATION: 4-unit fast-ship prototype kit (row 89) doubles as field-repair spares once the bulk lands.</t>
        </is>
      </c>
    </row>
    <row r="44" ht="18" customHeight="1" s="33">
      <c r="A44" t="inlineStr">
        <is>
          <t>84 solenoids in the matrix + 16 spares from the bulk order = comfortable.</t>
        </is>
      </c>
    </row>
    <row r="45" ht="18" customHeight="1" s="33">
      <c r="A45" t="inlineStr"/>
    </row>
    <row r="46" ht="18" customHeight="1" s="33">
      <c r="A46" s="74" t="inlineStr">
        <is>
          <t>WHAT TO DO IF EMPIRICAL TESTING FAILS</t>
        </is>
      </c>
    </row>
    <row r="47" ht="18" customHeight="1" s="33">
      <c r="A47" t="inlineStr">
        <is>
          <t>If the prototype kit reveals that the big solenoid can't hit PRD §6.3 latency or §7 endurance:</t>
        </is>
      </c>
    </row>
    <row r="48" ht="18" customHeight="1" s="33">
      <c r="A48" t="inlineStr">
        <is>
          <t>Option A — keep the bulk solenoids, lighten the plunger (drill out steel core or machine a 2g aluminum replacement).</t>
        </is>
      </c>
    </row>
    <row r="49" ht="18" customHeight="1" s="33">
      <c r="A49" t="inlineStr">
        <is>
          <t>Option B — return/resell the bulk and pivot to JF-0420B-class via Alibaba bulk order (4–6 wk delay, ~$450).</t>
        </is>
      </c>
    </row>
    <row r="50" ht="18" customHeight="1" s="33">
      <c r="A50" t="inlineStr">
        <is>
          <t>Option C — accept &gt;100ms latency for v1, treat as known limitation in the PRD acceptance writeup,</t>
        </is>
      </c>
    </row>
    <row r="51" ht="18" customHeight="1" s="33">
      <c r="A51" t="inlineStr">
        <is>
          <t xml:space="preserve">    document in the build log, and revisit for v2.</t>
        </is>
      </c>
    </row>
    <row r="52" ht="18" customHeight="1" s="33">
      <c r="A52" t="inlineStr">
        <is>
          <t>Make this Go/No-Go call at end of Week 2 (after prototype kit is in hand).</t>
        </is>
      </c>
    </row>
    <row r="53" ht="18" customHeight="1" s="33">
      <c r="A53" t="inlineStr"/>
    </row>
    <row r="54" ht="18" customHeight="1" s="33">
      <c r="A54" s="52" t="inlineStr">
        <is>
          <t>CHANGES vs ORIGINAL ORDER</t>
        </is>
      </c>
    </row>
    <row r="55" ht="18" customHeight="1" s="33">
      <c r="A55" t="inlineStr">
        <is>
          <t>• Solenoid row 7: JF-0420B @ qty 90 @ $6  →  5N/10mm @ qty 100 @ $3.50 (–$190 if AliExpress price holds)</t>
        </is>
      </c>
    </row>
    <row r="56" ht="18" customHeight="1" s="33">
      <c r="A56" t="inlineStr">
        <is>
          <t>• Spare switches row 10: qty 8  →  qty 30  (+$41)</t>
        </is>
      </c>
    </row>
    <row r="57" ht="18" customHeight="1" s="33">
      <c r="A57" t="inlineStr">
        <is>
          <t>• M5 standoffs row 40: 40–70mm adjustable ×4  →  25mm fixed ×12 (mixed lengths) (+$11)</t>
        </is>
      </c>
    </row>
    <row r="58" ht="18" customHeight="1" s="33">
      <c r="A58" t="inlineStr">
        <is>
          <t>• ADDED row 88: 80mm USB cooling fan (+$9)</t>
        </is>
      </c>
    </row>
    <row r="59" ht="18" customHeight="1" s="33">
      <c r="A59" t="inlineStr">
        <is>
          <t>• ADDED row 89: 4-unit fast-ship prototype test kit (+$22)</t>
        </is>
      </c>
    </row>
    <row r="60" ht="18" customHeight="1" s="33">
      <c r="A60" t="inlineStr">
        <is>
          <t>• ADDED row 90: extra stranded wire (+$12)</t>
        </is>
      </c>
    </row>
    <row r="61" ht="18" customHeight="1" s="33">
      <c r="A61" t="inlineStr">
        <is>
          <t>Net cost change vs the JF-0420B-Amazon line: roughly –$95 if AliExpress holds $3.50/unit.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2026-05-23T20:34:37Z</dcterms:created>
  <dcterms:modified xmlns:dcterms="http://purl.org/dc/terms/" xmlns:xsi="http://www.w3.org/2001/XMLSchema-instance" xsi:type="dcterms:W3CDTF">2026-05-24T04:23:45Z</dcterms:modified>
  <cp:revision>0</cp:revision>
</cp:coreProperties>
</file>